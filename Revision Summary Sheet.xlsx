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hitkara\Sessional_Tests_QP\BCAAIML\"/>
    </mc:Choice>
  </mc:AlternateContent>
  <xr:revisionPtr revIDLastSave="0" documentId="13_ncr:1_{9EF3F8FE-A520-40B9-B835-C7FC8429506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ummary sheet" sheetId="1" r:id="rId1"/>
  </sheets>
  <definedNames>
    <definedName name="_xlnm._FilterDatabase" localSheetId="0" hidden="1">'summary sheet'!$A$1:$AL$74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AA22" i="1"/>
  <c r="AG25" i="1"/>
  <c r="AG24" i="1"/>
  <c r="AG23" i="1"/>
  <c r="AG22" i="1"/>
  <c r="AG21" i="1"/>
  <c r="AG20" i="1"/>
  <c r="AG19" i="1"/>
  <c r="AG18" i="1"/>
  <c r="AH17" i="1"/>
  <c r="AG17" i="1"/>
  <c r="AL16" i="1"/>
  <c r="AK16" i="1"/>
  <c r="AJ16" i="1"/>
  <c r="AI16" i="1"/>
  <c r="AH16" i="1"/>
  <c r="AG16" i="1"/>
  <c r="AL15" i="1"/>
  <c r="AK15" i="1"/>
  <c r="AJ15" i="1"/>
  <c r="AI15" i="1"/>
  <c r="AH15" i="1"/>
  <c r="AG15" i="1"/>
  <c r="AL14" i="1"/>
  <c r="AK14" i="1"/>
  <c r="AJ14" i="1"/>
  <c r="AI14" i="1"/>
  <c r="AH14" i="1"/>
  <c r="AG14" i="1"/>
  <c r="AL13" i="1"/>
  <c r="AK13" i="1"/>
  <c r="AJ13" i="1"/>
  <c r="AI13" i="1"/>
  <c r="AH13" i="1"/>
  <c r="AG13" i="1"/>
  <c r="AL12" i="1"/>
  <c r="AK12" i="1"/>
  <c r="AJ12" i="1"/>
  <c r="AI12" i="1"/>
  <c r="AH12" i="1"/>
  <c r="AG12" i="1"/>
  <c r="AL11" i="1"/>
  <c r="AK11" i="1"/>
  <c r="AJ11" i="1"/>
  <c r="AI11" i="1"/>
  <c r="AH11" i="1"/>
  <c r="AG11" i="1"/>
  <c r="AL10" i="1"/>
  <c r="AK10" i="1"/>
  <c r="AJ10" i="1"/>
  <c r="AI10" i="1"/>
  <c r="AH10" i="1"/>
  <c r="AG10" i="1"/>
  <c r="AL9" i="1"/>
  <c r="AK9" i="1"/>
  <c r="AJ9" i="1"/>
  <c r="AI9" i="1"/>
  <c r="AH9" i="1"/>
  <c r="AG9" i="1"/>
  <c r="AL8" i="1"/>
  <c r="AK8" i="1"/>
  <c r="AJ8" i="1"/>
  <c r="AI8" i="1"/>
  <c r="AH8" i="1"/>
  <c r="AG8" i="1"/>
  <c r="AL7" i="1"/>
  <c r="AK7" i="1"/>
  <c r="AJ7" i="1"/>
  <c r="AI7" i="1"/>
  <c r="AH7" i="1"/>
  <c r="AG7" i="1"/>
  <c r="Z25" i="1" l="1"/>
  <c r="Z24" i="1"/>
  <c r="Z23" i="1"/>
  <c r="Z22" i="1"/>
  <c r="Z20" i="1"/>
  <c r="Z19" i="1"/>
  <c r="Z18" i="1"/>
  <c r="Z17" i="1"/>
  <c r="AA16" i="1"/>
  <c r="AB16" i="1"/>
  <c r="AC16" i="1"/>
  <c r="AD16" i="1"/>
  <c r="AA15" i="1"/>
  <c r="AB15" i="1"/>
  <c r="AC15" i="1"/>
  <c r="AD15" i="1"/>
  <c r="AA14" i="1"/>
  <c r="AB14" i="1"/>
  <c r="AC14" i="1"/>
  <c r="AD14" i="1"/>
  <c r="AA13" i="1"/>
  <c r="AB13" i="1"/>
  <c r="AC13" i="1"/>
  <c r="AD13" i="1"/>
  <c r="AA12" i="1"/>
  <c r="AB12" i="1"/>
  <c r="AC12" i="1"/>
  <c r="AD12" i="1"/>
  <c r="AA11" i="1"/>
  <c r="AB11" i="1"/>
  <c r="AC11" i="1"/>
  <c r="AD11" i="1"/>
  <c r="AA10" i="1"/>
  <c r="AB10" i="1"/>
  <c r="AC10" i="1"/>
  <c r="AD10" i="1"/>
  <c r="AA9" i="1"/>
  <c r="AB9" i="1"/>
  <c r="AC9" i="1"/>
  <c r="AD9" i="1"/>
  <c r="AA8" i="1"/>
  <c r="AB8" i="1"/>
  <c r="AC8" i="1"/>
  <c r="AD8" i="1"/>
  <c r="AD7" i="1"/>
  <c r="AC7" i="1"/>
  <c r="AB7" i="1"/>
  <c r="Z7" i="1"/>
  <c r="AA7" i="1"/>
  <c r="Z16" i="1"/>
  <c r="Z15" i="1"/>
  <c r="Z14" i="1"/>
  <c r="Z13" i="1"/>
  <c r="Z12" i="1"/>
  <c r="Z11" i="1"/>
  <c r="Z10" i="1"/>
  <c r="Z9" i="1"/>
  <c r="Z8" i="1"/>
  <c r="Z2" i="1"/>
  <c r="AH25" i="1"/>
  <c r="AI25" i="1"/>
  <c r="AJ25" i="1"/>
  <c r="AK25" i="1"/>
  <c r="AL25" i="1"/>
  <c r="AH24" i="1"/>
  <c r="AI24" i="1"/>
  <c r="AJ24" i="1"/>
  <c r="AK24" i="1"/>
  <c r="AL24" i="1"/>
  <c r="AH23" i="1"/>
  <c r="AI23" i="1"/>
  <c r="AJ23" i="1"/>
  <c r="AK23" i="1"/>
  <c r="AL23" i="1"/>
  <c r="AH22" i="1"/>
  <c r="AI22" i="1"/>
  <c r="AJ22" i="1"/>
  <c r="AK22" i="1"/>
  <c r="AL22" i="1"/>
  <c r="AH21" i="1"/>
  <c r="AI21" i="1"/>
  <c r="AJ21" i="1"/>
  <c r="AK21" i="1"/>
  <c r="AL21" i="1"/>
  <c r="AH20" i="1"/>
  <c r="AI20" i="1"/>
  <c r="AJ20" i="1"/>
  <c r="AK20" i="1"/>
  <c r="AL20" i="1"/>
  <c r="AH19" i="1"/>
  <c r="AI19" i="1"/>
  <c r="AJ19" i="1"/>
  <c r="AK19" i="1"/>
  <c r="AL19" i="1"/>
  <c r="AH18" i="1"/>
  <c r="AI18" i="1"/>
  <c r="AJ18" i="1"/>
  <c r="AK18" i="1"/>
  <c r="AL18" i="1"/>
  <c r="AI17" i="1"/>
  <c r="AJ17" i="1"/>
  <c r="AK17" i="1"/>
  <c r="AL17" i="1"/>
  <c r="AA25" i="1"/>
  <c r="AB25" i="1"/>
  <c r="AC25" i="1"/>
  <c r="AD25" i="1"/>
  <c r="AA24" i="1"/>
  <c r="AB24" i="1"/>
  <c r="AC24" i="1"/>
  <c r="AD24" i="1"/>
  <c r="AA23" i="1"/>
  <c r="AB23" i="1"/>
  <c r="AC23" i="1"/>
  <c r="AD23" i="1"/>
  <c r="AB22" i="1"/>
  <c r="AC22" i="1"/>
  <c r="AD22" i="1"/>
  <c r="AA21" i="1"/>
  <c r="AB21" i="1"/>
  <c r="AC21" i="1"/>
  <c r="AD21" i="1"/>
  <c r="AA20" i="1"/>
  <c r="AB20" i="1"/>
  <c r="AC20" i="1"/>
  <c r="AD20" i="1"/>
  <c r="AA19" i="1"/>
  <c r="AB19" i="1"/>
  <c r="AC19" i="1"/>
  <c r="AD19" i="1"/>
  <c r="AA18" i="1"/>
  <c r="AB18" i="1"/>
  <c r="AC18" i="1"/>
  <c r="AD18" i="1"/>
  <c r="AA17" i="1"/>
  <c r="AB17" i="1"/>
  <c r="AC17" i="1"/>
  <c r="AD17" i="1"/>
  <c r="Z21" i="1"/>
  <c r="AH6" i="1"/>
  <c r="AI6" i="1"/>
  <c r="AJ6" i="1"/>
  <c r="AK6" i="1"/>
  <c r="AL6" i="1"/>
  <c r="AH5" i="1"/>
  <c r="AI5" i="1"/>
  <c r="AJ5" i="1"/>
  <c r="AK5" i="1"/>
  <c r="AL5" i="1"/>
  <c r="AH4" i="1"/>
  <c r="AI4" i="1"/>
  <c r="AJ4" i="1"/>
  <c r="AK4" i="1"/>
  <c r="AL4" i="1"/>
  <c r="AH3" i="1"/>
  <c r="AI3" i="1"/>
  <c r="AJ3" i="1"/>
  <c r="AK3" i="1"/>
  <c r="AL3" i="1"/>
  <c r="AH2" i="1"/>
  <c r="AI2" i="1"/>
  <c r="AJ2" i="1"/>
  <c r="AK2" i="1"/>
  <c r="AL2" i="1"/>
  <c r="AG6" i="1"/>
  <c r="AG5" i="1"/>
  <c r="AG4" i="1"/>
  <c r="AG3" i="1"/>
  <c r="AG26" i="1" s="1"/>
  <c r="R28" i="1" s="1"/>
  <c r="AG2" i="1"/>
  <c r="AA6" i="1"/>
  <c r="AB6" i="1"/>
  <c r="AC6" i="1"/>
  <c r="AD6" i="1"/>
  <c r="AA5" i="1"/>
  <c r="AB5" i="1"/>
  <c r="AC5" i="1"/>
  <c r="AD5" i="1"/>
  <c r="AA4" i="1"/>
  <c r="AB4" i="1"/>
  <c r="AC4" i="1"/>
  <c r="AD4" i="1"/>
  <c r="AA3" i="1"/>
  <c r="AB3" i="1"/>
  <c r="AC3" i="1"/>
  <c r="AD3" i="1"/>
  <c r="AA2" i="1"/>
  <c r="AB2" i="1"/>
  <c r="AC2" i="1"/>
  <c r="AD2" i="1"/>
  <c r="Z6" i="1"/>
  <c r="Z5" i="1"/>
  <c r="Z4" i="1"/>
  <c r="Z3" i="1"/>
  <c r="AI26" i="1" l="1"/>
  <c r="R30" i="1" s="1"/>
  <c r="AL26" i="1"/>
  <c r="R33" i="1" s="1"/>
  <c r="AH26" i="1"/>
  <c r="R29" i="1" s="1"/>
  <c r="AK26" i="1"/>
  <c r="R32" i="1" s="1"/>
  <c r="AJ26" i="1"/>
  <c r="R31" i="1" s="1"/>
  <c r="AA26" i="1"/>
  <c r="R17" i="1" s="1"/>
  <c r="AB26" i="1"/>
  <c r="R18" i="1" s="1"/>
  <c r="AD26" i="1"/>
  <c r="R20" i="1" s="1"/>
  <c r="AC26" i="1"/>
  <c r="R19" i="1" s="1"/>
  <c r="Z26" i="1"/>
  <c r="R16" i="1" s="1"/>
  <c r="R34" i="1" l="1"/>
  <c r="R21" i="1"/>
</calcChain>
</file>

<file path=xl/sharedStrings.xml><?xml version="1.0" encoding="utf-8"?>
<sst xmlns="http://schemas.openxmlformats.org/spreadsheetml/2006/main" count="123" uniqueCount="95">
  <si>
    <t>Summary Sheet</t>
  </si>
  <si>
    <t>Academic Year:</t>
  </si>
  <si>
    <t>Semester:</t>
  </si>
  <si>
    <t>Program Name:</t>
  </si>
  <si>
    <t>Course Code:</t>
  </si>
  <si>
    <t xml:space="preserve">Title of the course: </t>
  </si>
  <si>
    <t>Total No. of lectures scheduled per week for the course:</t>
  </si>
  <si>
    <t>Question number</t>
  </si>
  <si>
    <t>Lecture number
of the topics in the Course Handout (Annexure C)</t>
  </si>
  <si>
    <t>Level of difﬁculty on a scale of 1 (very easy) to 5 (extremely difﬁcult)</t>
  </si>
  <si>
    <t>Indicative letter of Bloom’s taxonomy (refer to table below)</t>
  </si>
  <si>
    <t>Please indicate the level of CLO, this question best matches to</t>
  </si>
  <si>
    <t>Estimated time required (in minutes) to solve the question paper by
Average student*</t>
  </si>
  <si>
    <t>Corresponding
% in the paper</t>
  </si>
  <si>
    <t>Total</t>
  </si>
  <si>
    <t>Percentage distribution pertaining to different CLOs</t>
  </si>
  <si>
    <t>CLOs</t>
  </si>
  <si>
    <t xml:space="preserve">Total estimated time required to solve the question paper as per the teacher </t>
  </si>
  <si>
    <t>CLO-1</t>
  </si>
  <si>
    <t>CLO-2</t>
  </si>
  <si>
    <t>CLO-3</t>
  </si>
  <si>
    <t>CLO-4</t>
  </si>
  <si>
    <t>CLO-5</t>
  </si>
  <si>
    <t>Please bring forth all the CLOs identied for the course (you can use copy &amp; paste option  while working with a smaller font size)</t>
  </si>
  <si>
    <t>CLO-6</t>
  </si>
  <si>
    <t xml:space="preserve">Total </t>
  </si>
  <si>
    <t>Indicative letter</t>
  </si>
  <si>
    <t>Focus of learning</t>
  </si>
  <si>
    <t>Methods of learning</t>
  </si>
  <si>
    <t>R</t>
  </si>
  <si>
    <t>Remembering</t>
  </si>
  <si>
    <t>List, Relate, Show, Locate, Distinguish, Give example, Reproduce, Quote, Repeat, Label, Recall, Know, Group, Write, Choose, Recite, Review, match, record, Select, cite, sort, Label</t>
  </si>
  <si>
    <t>U</t>
  </si>
  <si>
    <t>Understanding</t>
  </si>
  <si>
    <t>Restate, identify, retell, research, annotate, translate, review, observe, outline, account for, interpret, give main idea, estimate, deﬁne, summarize, classify, compare</t>
  </si>
  <si>
    <t>P</t>
  </si>
  <si>
    <t>Applying</t>
  </si>
  <si>
    <t>Translate, Manipulate, Exhibit, Calculate, Interpret, Make, practice, Apply, Operate, Change, Compute, Sequence, Show, Solve, Collect, demonstrate, construct, use, adapt, draw</t>
  </si>
  <si>
    <t>N</t>
  </si>
  <si>
    <t>Analyzing</t>
  </si>
  <si>
    <t>Distinguish, question, appraise, experiment, inspect, examine, probe, separate, inquire, arrange, investigate, sift, calculate, criticize, contrast, survey, detect, group, order, debate, analyze, diagram, relate, dissect, categorize, discriminate</t>
  </si>
  <si>
    <t>E</t>
  </si>
  <si>
    <t>Evaluating</t>
  </si>
  <si>
    <t>C</t>
  </si>
  <si>
    <t>Creating</t>
  </si>
  <si>
    <t>Compose, Assemble, Organize, Invent, compile, forecast, devise, propose, construct, plan, develop, originate, imagine,generate, formulate, improve, act, predict, produce, blend, set up, concoct, project</t>
  </si>
  <si>
    <t>Designation:</t>
  </si>
  <si>
    <r>
      <rPr>
        <b/>
        <sz val="11"/>
        <color theme="1"/>
        <rFont val="Calibri"/>
        <family val="2"/>
        <scheme val="minor"/>
      </rPr>
      <t xml:space="preserve">Signature:       </t>
    </r>
    <r>
      <rPr>
        <sz val="11"/>
        <color theme="1"/>
        <rFont val="Calibri"/>
        <family val="2"/>
        <scheme val="minor"/>
      </rPr>
      <t xml:space="preserve">          </t>
    </r>
  </si>
  <si>
    <r>
      <t>Date:</t>
    </r>
    <r>
      <rPr>
        <u/>
        <sz val="9"/>
        <color rgb="FF363435"/>
        <rFont val="Times New Roman"/>
        <family val="1"/>
      </rPr>
      <t xml:space="preserve"> </t>
    </r>
  </si>
  <si>
    <t xml:space="preserve">Judge, Rate, Validate, Predict, Assess, score, infer, determine, prioritize, tell why, compare, evaluate, defend, select, measure, choose, conclude, debate, justify, recommend, appraise, value, probe, argue, decide, criticize, rank, reject
</t>
  </si>
  <si>
    <t>Department :</t>
  </si>
  <si>
    <t>1-1</t>
  </si>
  <si>
    <t>1-2</t>
  </si>
  <si>
    <t>1-3</t>
  </si>
  <si>
    <t>1-4</t>
  </si>
  <si>
    <t>1-5</t>
  </si>
  <si>
    <r>
      <t>Percentage distribution for level of diffi</t>
    </r>
    <r>
      <rPr>
        <b/>
        <sz val="11"/>
        <color theme="1"/>
        <rFont val="Calibri"/>
        <family val="2"/>
        <scheme val="minor"/>
      </rPr>
      <t>culty</t>
    </r>
  </si>
  <si>
    <t>Level of
difficulty</t>
  </si>
  <si>
    <t xml:space="preserve">Name of Paper Setter: </t>
  </si>
  <si>
    <t>SECTION-A</t>
  </si>
  <si>
    <t>SECTION-B</t>
  </si>
  <si>
    <t>SECTION-C</t>
  </si>
  <si>
    <t>CA</t>
  </si>
  <si>
    <t>1 (MCQ's)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</si>
  <si>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</si>
  <si>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</si>
  <si>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</si>
  <si>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</si>
  <si>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</si>
  <si>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</si>
  <si>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</si>
  <si>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</si>
  <si>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</si>
  <si>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</si>
  <si>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Basics  of Computer Science and Problem Solving</t>
  </si>
  <si>
    <t>2025-26</t>
  </si>
  <si>
    <t>25COA1101</t>
  </si>
  <si>
    <t>ST: I</t>
  </si>
  <si>
    <t>3</t>
  </si>
  <si>
    <t>4</t>
  </si>
  <si>
    <t>2</t>
  </si>
  <si>
    <t>8</t>
  </si>
  <si>
    <t>11</t>
  </si>
  <si>
    <t>6</t>
  </si>
  <si>
    <t>9,10</t>
  </si>
  <si>
    <t>12, 15</t>
  </si>
  <si>
    <t>Sequence of lecture nos. (in ascending  order)
from where the questions have been framed:
1-15</t>
  </si>
  <si>
    <t>Apprehend the basic knowledge of Computers and its related technologies</t>
  </si>
  <si>
    <t>To understand and examine the structure of various number systems and its application in digital design.</t>
  </si>
  <si>
    <t>Analyze and implement logic functions using basic gates, Boolean algebra, and combinational circuits</t>
  </si>
  <si>
    <t>Define AI, explore its types, key concepts, and applications in real-world industries</t>
  </si>
  <si>
    <t>Apply terminal commands and use the LibreOffice Writer and Calc tools.</t>
  </si>
  <si>
    <t>Develop presentation through slide masters and templates using LibreOffice Impress and illustrate the benefits of animations in slides.</t>
  </si>
  <si>
    <t>Vikas Rattan</t>
  </si>
  <si>
    <t>Associate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</si>
</sst>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363435"/>
      <name val="Arial Unicode MS"/>
      <family val="2"/>
    </font>
    <font>
      <b/>
      <sz val="8"/>
      <color rgb="FF363435"/>
      <name val="Arial Unicode MS"/>
      <family val="2"/>
    </font>
    <font>
      <sz val="8"/>
      <color theme="1"/>
      <name val="Calibri"/>
      <family val="2"/>
      <scheme val="minor"/>
    </font>
    <font>
      <u/>
      <sz val="9"/>
      <color rgb="FF363435"/>
      <name val="Times New Roman"/>
      <family val="1"/>
    </font>
    <font>
      <sz val="10"/>
      <color theme="1"/>
      <name val="Times New Roman"/>
      <family val="1"/>
    </font>
    <font>
      <b/>
      <sz val="8"/>
      <color rgb="FF363435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F3DE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6" xfId="0" applyBorder="1"/>
    <xf numFmtId="2" fontId="0" fillId="0" borderId="9" xfId="0" applyNumberFormat="1" applyBorder="1" applyAlignment="1">
      <alignment horizontal="center"/>
    </xf>
    <xf numFmtId="0" fontId="3" fillId="0" borderId="5" xfId="0" applyFont="1" applyBorder="1"/>
    <xf numFmtId="0" fontId="5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Protection="1">
      <protection locked="0"/>
    </xf>
    <xf numFmtId="0" fontId="5" fillId="0" borderId="0" xfId="0" applyFont="1" applyAlignment="1" applyProtection="1">
      <alignment vertical="top" wrapText="1"/>
      <protection locked="0"/>
    </xf>
    <xf numFmtId="0" fontId="0" fillId="0" borderId="6" xfId="0" applyBorder="1" applyProtection="1">
      <protection locked="0"/>
    </xf>
    <xf numFmtId="0" fontId="7" fillId="0" borderId="0" xfId="0" applyFont="1" applyProtection="1">
      <protection locked="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1" xfId="0" applyBorder="1"/>
    <xf numFmtId="0" fontId="0" fillId="0" borderId="1" xfId="0" applyBorder="1" applyProtection="1">
      <protection locked="0"/>
    </xf>
    <xf numFmtId="0" fontId="0" fillId="0" borderId="10" xfId="0" applyBorder="1"/>
    <xf numFmtId="0" fontId="0" fillId="0" borderId="8" xfId="0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0" borderId="12" xfId="0" applyFont="1" applyBorder="1" applyAlignment="1">
      <alignment vertical="center" wrapText="1"/>
    </xf>
    <xf numFmtId="0" fontId="0" fillId="0" borderId="10" xfId="0" applyBorder="1" applyProtection="1"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0" fillId="0" borderId="5" xfId="0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0" fillId="0" borderId="5" xfId="0" applyBorder="1"/>
    <xf numFmtId="0" fontId="8" fillId="0" borderId="8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3" fillId="0" borderId="0" xfId="0" applyFont="1"/>
    <xf numFmtId="0" fontId="0" fillId="0" borderId="11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25" xfId="0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7" xfId="0" applyFill="1" applyBorder="1" applyProtection="1">
      <protection locked="0"/>
    </xf>
    <xf numFmtId="0" fontId="0" fillId="6" borderId="7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49" fontId="0" fillId="7" borderId="7" xfId="0" applyNumberFormat="1" applyFill="1" applyBorder="1" applyAlignment="1" applyProtection="1">
      <alignment horizontal="center"/>
      <protection locked="0"/>
    </xf>
    <xf numFmtId="0" fontId="0" fillId="7" borderId="7" xfId="0" applyFill="1" applyBorder="1" applyAlignment="1" applyProtection="1">
      <alignment horizontal="center"/>
      <protection locked="0"/>
    </xf>
    <xf numFmtId="0" fontId="0" fillId="8" borderId="7" xfId="0" applyFill="1" applyBorder="1" applyAlignment="1" applyProtection="1">
      <alignment horizontal="center"/>
      <protection locked="0"/>
    </xf>
    <xf numFmtId="0" fontId="0" fillId="9" borderId="7" xfId="0" applyFill="1" applyBorder="1" applyAlignment="1" applyProtection="1">
      <alignment horizontal="center"/>
      <protection locked="0"/>
    </xf>
    <xf numFmtId="0" fontId="0" fillId="10" borderId="7" xfId="0" applyFill="1" applyBorder="1" applyAlignment="1" applyProtection="1">
      <alignment horizontal="center"/>
      <protection locked="0"/>
    </xf>
    <xf numFmtId="0" fontId="1" fillId="0" borderId="29" xfId="0" applyFont="1" applyBorder="1" applyAlignment="1">
      <alignment horizontal="center" vertical="top" wrapText="1"/>
    </xf>
    <xf numFmtId="0" fontId="0" fillId="5" borderId="0" xfId="0" applyFill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0" fillId="0" borderId="38" xfId="0" applyBorder="1" applyAlignment="1" applyProtection="1">
      <alignment horizontal="center" vertical="center"/>
      <protection locked="0"/>
    </xf>
    <xf numFmtId="0" fontId="0" fillId="4" borderId="24" xfId="0" applyFill="1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4" borderId="32" xfId="0" applyFill="1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4" borderId="34" xfId="0" applyFill="1" applyBorder="1" applyAlignment="1">
      <alignment horizontal="center" vertical="center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8" borderId="24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0" borderId="18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17" fontId="0" fillId="0" borderId="6" xfId="0" applyNumberFormat="1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43" xfId="0" quotePrefix="1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44" xfId="0" quotePrefix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8" fillId="0" borderId="31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49" fontId="0" fillId="0" borderId="13" xfId="0" quotePrefix="1" applyNumberFormat="1" applyBorder="1" applyAlignment="1" applyProtection="1">
      <alignment horizontal="center" vertical="center"/>
      <protection locked="0"/>
    </xf>
    <xf numFmtId="49" fontId="0" fillId="0" borderId="7" xfId="0" quotePrefix="1" applyNumberFormat="1" applyBorder="1" applyAlignment="1" applyProtection="1">
      <alignment horizontal="center" vertical="center"/>
      <protection locked="0"/>
    </xf>
    <xf numFmtId="49" fontId="0" fillId="0" borderId="7" xfId="0" applyNumberFormat="1" applyBorder="1" applyAlignment="1" applyProtection="1">
      <alignment horizontal="center" vertical="center"/>
      <protection locked="0"/>
    </xf>
    <xf numFmtId="49" fontId="0" fillId="0" borderId="16" xfId="0" quotePrefix="1" applyNumberFormat="1" applyBorder="1" applyAlignment="1" applyProtection="1">
      <alignment horizontal="center" vertical="center"/>
      <protection locked="0"/>
    </xf>
    <xf numFmtId="0" fontId="1" fillId="0" borderId="4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3" xfId="0" applyFont="1" applyBorder="1" applyAlignment="1">
      <alignment horizontal="center" wrapText="1"/>
    </xf>
    <xf numFmtId="0" fontId="3" fillId="0" borderId="37" xfId="0" applyFont="1" applyBorder="1" applyAlignment="1">
      <alignment horizontal="center" wrapText="1"/>
    </xf>
    <xf numFmtId="0" fontId="3" fillId="0" borderId="39" xfId="0" applyFont="1" applyBorder="1" applyAlignment="1">
      <alignment horizontal="center" wrapText="1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center" vertical="top" wrapText="1"/>
    </xf>
    <xf numFmtId="0" fontId="1" fillId="0" borderId="5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0" fillId="0" borderId="2" xfId="0" applyBorder="1" applyAlignment="1" applyProtection="1">
      <alignment horizontal="center" vertical="top" wrapText="1"/>
      <protection locked="0"/>
    </xf>
    <xf numFmtId="0" fontId="0" fillId="0" borderId="4" xfId="0" applyBorder="1" applyAlignment="1" applyProtection="1">
      <alignment horizontal="center" vertical="top" wrapText="1"/>
      <protection locked="0"/>
    </xf>
    <xf numFmtId="0" fontId="0" fillId="0" borderId="5" xfId="0" applyBorder="1" applyAlignment="1" applyProtection="1">
      <alignment horizontal="center" vertical="top" wrapText="1"/>
      <protection locked="0"/>
    </xf>
    <xf numFmtId="0" fontId="0" fillId="0" borderId="6" xfId="0" applyBorder="1" applyAlignment="1" applyProtection="1">
      <alignment horizontal="center" vertical="top" wrapText="1"/>
      <protection locked="0"/>
    </xf>
    <xf numFmtId="0" fontId="0" fillId="0" borderId="11" xfId="0" applyBorder="1" applyAlignment="1" applyProtection="1">
      <alignment horizontal="center" vertical="top" wrapText="1"/>
      <protection locked="0"/>
    </xf>
    <xf numFmtId="0" fontId="0" fillId="0" borderId="10" xfId="0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3" xfId="0" applyFont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31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8" xfId="0" applyFont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37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" fillId="0" borderId="4" xfId="0" applyFont="1" applyBorder="1" applyAlignment="1">
      <alignment horizontal="center" vertical="top" wrapText="1"/>
    </xf>
    <xf numFmtId="0" fontId="1" fillId="0" borderId="53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1" fillId="0" borderId="45" xfId="0" applyFont="1" applyBorder="1" applyAlignment="1">
      <alignment horizontal="center" vertical="top" wrapText="1"/>
    </xf>
    <xf numFmtId="0" fontId="1" fillId="0" borderId="49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1" xfId="0" applyBorder="1" applyAlignment="1" applyProtection="1">
      <alignment horizontal="center"/>
      <protection locked="0"/>
    </xf>
    <xf numFmtId="0" fontId="8" fillId="0" borderId="31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0" fontId="5" fillId="0" borderId="0" xfId="0" applyFont="1" applyAlignment="1" applyProtection="1">
      <alignment horizontal="center" vertical="top" wrapText="1"/>
      <protection locked="0"/>
    </xf>
    <xf numFmtId="0" fontId="5" fillId="0" borderId="3" xfId="0" applyFont="1" applyBorder="1" applyAlignment="1">
      <alignment horizontal="center" wrapText="1"/>
    </xf>
    <xf numFmtId="0" fontId="5" fillId="0" borderId="0" xfId="0" applyFont="1" applyAlignment="1" applyProtection="1">
      <alignment horizontal="center" wrapText="1"/>
      <protection locked="0"/>
    </xf>
    <xf numFmtId="0" fontId="8" fillId="0" borderId="33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33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0" fontId="1" fillId="0" borderId="12" xfId="0" applyFont="1" applyBorder="1" applyAlignment="1" applyProtection="1">
      <alignment horizontal="center" vertical="center" textRotation="90"/>
      <protection locked="0"/>
    </xf>
    <xf numFmtId="0" fontId="1" fillId="0" borderId="8" xfId="0" applyFont="1" applyBorder="1" applyAlignment="1" applyProtection="1">
      <alignment horizontal="center" vertical="center" textRotation="90"/>
      <protection locked="0"/>
    </xf>
    <xf numFmtId="0" fontId="1" fillId="0" borderId="15" xfId="0" applyFont="1" applyBorder="1" applyAlignment="1" applyProtection="1">
      <alignment horizontal="center" vertical="center" textRotation="90"/>
      <protection locked="0"/>
    </xf>
    <xf numFmtId="0" fontId="1" fillId="0" borderId="42" xfId="0" applyFont="1" applyBorder="1" applyAlignment="1" applyProtection="1">
      <alignment horizontal="center" vertical="center" textRotation="90"/>
      <protection locked="0"/>
    </xf>
    <xf numFmtId="0" fontId="1" fillId="0" borderId="44" xfId="0" applyFont="1" applyBorder="1" applyAlignment="1" applyProtection="1">
      <alignment horizontal="center" vertical="center" textRotation="90"/>
      <protection locked="0"/>
    </xf>
    <xf numFmtId="0" fontId="1" fillId="0" borderId="0" xfId="0" applyFont="1" applyAlignment="1" applyProtection="1">
      <alignment horizontal="center" vertical="center" textRotation="90"/>
      <protection locked="0"/>
    </xf>
    <xf numFmtId="17" fontId="0" fillId="0" borderId="29" xfId="0" quotePrefix="1" applyNumberFormat="1" applyBorder="1" applyAlignment="1" applyProtection="1">
      <alignment horizontal="center" vertical="center"/>
      <protection locked="0"/>
    </xf>
    <xf numFmtId="17" fontId="0" fillId="0" borderId="46" xfId="0" quotePrefix="1" applyNumberFormat="1" applyBorder="1" applyAlignment="1" applyProtection="1">
      <alignment horizontal="center" vertical="center"/>
      <protection locked="0"/>
    </xf>
    <xf numFmtId="17" fontId="0" fillId="0" borderId="47" xfId="0" quotePrefix="1" applyNumberFormat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47" xfId="0" applyBorder="1" applyAlignment="1" applyProtection="1">
      <alignment horizontal="center" vertical="center"/>
      <protection locked="0"/>
    </xf>
    <xf numFmtId="0" fontId="0" fillId="3" borderId="29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1" fillId="0" borderId="28" xfId="0" applyFont="1" applyBorder="1" applyAlignment="1" applyProtection="1">
      <alignment horizontal="center" vertical="center" textRotation="90"/>
      <protection locked="0"/>
    </xf>
    <xf numFmtId="0" fontId="1" fillId="0" borderId="40" xfId="0" applyFont="1" applyBorder="1" applyAlignment="1" applyProtection="1">
      <alignment horizontal="center" vertical="center" textRotation="90"/>
      <protection locked="0"/>
    </xf>
    <xf numFmtId="0" fontId="1" fillId="0" borderId="41" xfId="0" applyFont="1" applyBorder="1" applyAlignment="1" applyProtection="1">
      <alignment horizontal="center" vertical="center" textRotation="90"/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0" fillId="0" borderId="9" xfId="0" applyBorder="1" applyAlignment="1" applyProtection="1">
      <alignment horizontal="left" wrapText="1"/>
      <protection locked="0"/>
    </xf>
    <xf numFmtId="0" fontId="0" fillId="0" borderId="33" xfId="0" applyBorder="1" applyAlignment="1" applyProtection="1">
      <alignment horizontal="left" wrapText="1"/>
      <protection locked="0"/>
    </xf>
    <xf numFmtId="0" fontId="0" fillId="0" borderId="21" xfId="0" applyBorder="1" applyAlignment="1" applyProtection="1">
      <alignment horizontal="left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50" xfId="0" applyBorder="1" applyAlignment="1" applyProtection="1">
      <alignment horizontal="left" wrapText="1"/>
      <protection locked="0"/>
    </xf>
    <xf numFmtId="0" fontId="0" fillId="0" borderId="51" xfId="0" applyBorder="1" applyAlignment="1" applyProtection="1">
      <alignment horizontal="left" wrapText="1"/>
      <protection locked="0"/>
    </xf>
    <xf numFmtId="0" fontId="0" fillId="0" borderId="56" xfId="0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190500</xdr:colOff>
      <xdr:row>0</xdr:row>
      <xdr:rowOff>47625</xdr:rowOff>
    </xdr:from>
    <xdr:to>
      <xdr:col>17</xdr:col>
      <xdr:colOff>988313</xdr:colOff>
      <xdr:row>0</xdr:row>
      <xdr:rowOff>199869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97025" y="47625"/>
          <a:ext cx="797813" cy="1522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4"/>
  <sheetViews>
    <sheetView tabSelected="1" view="pageBreakPreview" zoomScaleSheetLayoutView="100" workbookViewId="0">
      <selection activeCell="B1" sqref="B1:R1"/>
    </sheetView>
  </sheetViews>
  <sheetFormatPr defaultColWidth="8.85546875" defaultRowHeight="18.75" customHeight="1"/>
  <cols>
    <col min="1" max="1" width="7" style="71" customWidth="1"/>
    <col min="2" max="2" width="13" customWidth="1"/>
    <col min="3" max="3" width="17" customWidth="1"/>
    <col min="4" max="7" width="3.42578125" customWidth="1"/>
    <col min="8" max="8" width="6.140625" customWidth="1"/>
    <col min="9" max="9" width="17.7109375" style="34" customWidth="1"/>
    <col min="10" max="13" width="3.140625" customWidth="1"/>
    <col min="14" max="14" width="8.42578125" customWidth="1"/>
    <col min="15" max="15" width="20.140625" customWidth="1"/>
    <col min="16" max="16" width="1.7109375" customWidth="1"/>
    <col min="17" max="17" width="15.7109375" customWidth="1"/>
    <col min="18" max="18" width="19.140625" customWidth="1"/>
    <col min="19" max="19" width="0.140625" customWidth="1"/>
    <col min="20" max="20" width="2.85546875" hidden="1" customWidth="1"/>
    <col min="21" max="21" width="9.140625" hidden="1" customWidth="1"/>
    <col min="22" max="22" width="13" hidden="1" customWidth="1"/>
    <col min="23" max="23" width="15.7109375" style="62" hidden="1" customWidth="1"/>
    <col min="24" max="24" width="7.42578125" hidden="1" customWidth="1"/>
    <col min="25" max="25" width="9.140625" style="34" hidden="1" customWidth="1"/>
    <col min="26" max="30" width="9.140625" hidden="1" customWidth="1"/>
    <col min="31" max="31" width="3.85546875" hidden="1" customWidth="1"/>
    <col min="32" max="32" width="9.140625" style="34" hidden="1" customWidth="1"/>
    <col min="33" max="38" width="9.140625" hidden="1" customWidth="1"/>
    <col min="39" max="40" width="8.85546875" customWidth="1"/>
  </cols>
  <sheetData>
    <row r="1" spans="1:38" s="3" customFormat="1" ht="18.75" customHeight="1" thickBot="1">
      <c r="A1" s="70"/>
      <c r="B1" s="156" t="s">
        <v>0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4"/>
      <c r="U1" s="1"/>
      <c r="V1" s="2"/>
      <c r="W1" s="61"/>
      <c r="X1" s="5"/>
      <c r="Y1" s="58"/>
      <c r="Z1" s="58">
        <v>1</v>
      </c>
      <c r="AA1" s="58">
        <v>2</v>
      </c>
      <c r="AB1" s="58">
        <v>3</v>
      </c>
      <c r="AC1" s="58">
        <v>4</v>
      </c>
      <c r="AD1" s="58">
        <v>5</v>
      </c>
      <c r="AE1" s="5"/>
      <c r="AF1" s="52"/>
      <c r="AG1" s="58">
        <v>1</v>
      </c>
      <c r="AH1" s="58">
        <v>2</v>
      </c>
      <c r="AI1" s="58">
        <v>3</v>
      </c>
      <c r="AJ1" s="58">
        <v>4</v>
      </c>
      <c r="AK1" s="58">
        <v>5</v>
      </c>
      <c r="AL1" s="58">
        <v>6</v>
      </c>
    </row>
    <row r="2" spans="1:38" s="1" customFormat="1" ht="18.75" customHeight="1">
      <c r="A2" s="70"/>
      <c r="B2" s="157" t="s">
        <v>1</v>
      </c>
      <c r="C2" s="158"/>
      <c r="D2" s="162" t="s">
        <v>75</v>
      </c>
      <c r="E2" s="162"/>
      <c r="F2" s="162"/>
      <c r="G2" s="162"/>
      <c r="H2" s="162"/>
      <c r="I2" s="83"/>
      <c r="J2" s="161" t="s">
        <v>2</v>
      </c>
      <c r="K2" s="161"/>
      <c r="L2" s="161"/>
      <c r="M2" s="161"/>
      <c r="N2" s="161"/>
      <c r="O2" s="84">
        <v>1</v>
      </c>
      <c r="P2" s="17"/>
      <c r="Q2" s="39"/>
      <c r="R2" s="18"/>
      <c r="S2" s="6"/>
      <c r="V2" s="2"/>
      <c r="W2" s="33"/>
      <c r="X2" s="2"/>
      <c r="Y2" s="63" t="s">
        <v>51</v>
      </c>
      <c r="Z2" s="64">
        <f>IF($D$7=Z$1,1,0)</f>
        <v>1</v>
      </c>
      <c r="AA2" s="64">
        <f>IF($D$7=AA$1,1,0)</f>
        <v>0</v>
      </c>
      <c r="AB2" s="64">
        <f>IF($D$7=AB$1,1,0)</f>
        <v>0</v>
      </c>
      <c r="AC2" s="64">
        <f>IF($D$7=AC$1,1,0)</f>
        <v>0</v>
      </c>
      <c r="AD2" s="64">
        <f>IF($D$7=AD$1,1,0)</f>
        <v>0</v>
      </c>
      <c r="AF2" s="63" t="s">
        <v>51</v>
      </c>
      <c r="AG2" s="64">
        <f t="shared" ref="AG2:AL2" si="0">IF($J$7=AG$1,1,0)</f>
        <v>1</v>
      </c>
      <c r="AH2" s="64">
        <f t="shared" si="0"/>
        <v>0</v>
      </c>
      <c r="AI2" s="64">
        <f t="shared" si="0"/>
        <v>0</v>
      </c>
      <c r="AJ2" s="64">
        <f t="shared" si="0"/>
        <v>0</v>
      </c>
      <c r="AK2" s="64">
        <f t="shared" si="0"/>
        <v>0</v>
      </c>
      <c r="AL2" s="64">
        <f t="shared" si="0"/>
        <v>0</v>
      </c>
    </row>
    <row r="3" spans="1:38" s="1" customFormat="1" ht="18.75" customHeight="1">
      <c r="A3" s="70"/>
      <c r="B3" s="159" t="s">
        <v>3</v>
      </c>
      <c r="C3" s="160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4"/>
      <c r="P3"/>
      <c r="Q3" s="40" t="s">
        <v>4</v>
      </c>
      <c r="R3" s="15" t="s">
        <v>76</v>
      </c>
      <c r="V3" s="2"/>
      <c r="W3" s="33"/>
      <c r="X3" s="2"/>
      <c r="Y3" s="63" t="s">
        <v>52</v>
      </c>
      <c r="Z3" s="64">
        <f>IF($E$7=Z$1,1,0)</f>
        <v>1</v>
      </c>
      <c r="AA3" s="64">
        <f>IF($E$7=AA$1,1,0)</f>
        <v>0</v>
      </c>
      <c r="AB3" s="64">
        <f>IF($E$7=AB$1,1,0)</f>
        <v>0</v>
      </c>
      <c r="AC3" s="64">
        <f>IF($E$7=AC$1,1,0)</f>
        <v>0</v>
      </c>
      <c r="AD3" s="64">
        <f>IF($E$7=AD$1,1,0)</f>
        <v>0</v>
      </c>
      <c r="AF3" s="63" t="s">
        <v>52</v>
      </c>
      <c r="AG3" s="64">
        <f t="shared" ref="AG3:AL3" si="1">IF($K$7=AG$1,1,0)</f>
        <v>1</v>
      </c>
      <c r="AH3" s="64">
        <f t="shared" si="1"/>
        <v>0</v>
      </c>
      <c r="AI3" s="64">
        <f t="shared" si="1"/>
        <v>0</v>
      </c>
      <c r="AJ3" s="64">
        <f t="shared" si="1"/>
        <v>0</v>
      </c>
      <c r="AK3" s="64">
        <f t="shared" si="1"/>
        <v>0</v>
      </c>
      <c r="AL3" s="64">
        <f t="shared" si="1"/>
        <v>0</v>
      </c>
    </row>
    <row r="4" spans="1:38" s="1" customFormat="1" ht="18.75" customHeight="1">
      <c r="A4" s="70"/>
      <c r="B4" s="159" t="s">
        <v>5</v>
      </c>
      <c r="C4" s="160"/>
      <c r="D4" s="165" t="s">
        <v>74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6"/>
      <c r="P4"/>
      <c r="Q4" s="40" t="s">
        <v>77</v>
      </c>
      <c r="R4" s="85">
        <v>45901</v>
      </c>
      <c r="V4" s="2"/>
      <c r="W4" s="33"/>
      <c r="X4" s="2"/>
      <c r="Y4" s="63" t="s">
        <v>53</v>
      </c>
      <c r="Z4" s="64">
        <f>IF($F$7=Z$1,1,0)</f>
        <v>1</v>
      </c>
      <c r="AA4" s="64">
        <f>IF($F$7=AA$1,1,0)</f>
        <v>0</v>
      </c>
      <c r="AB4" s="64">
        <f>IF($F$7=AB$1,1,0)</f>
        <v>0</v>
      </c>
      <c r="AC4" s="64">
        <f>IF($F$7=AC$1,1,0)</f>
        <v>0</v>
      </c>
      <c r="AD4" s="64">
        <f>IF($F$7=AD$1,1,0)</f>
        <v>0</v>
      </c>
      <c r="AF4" s="63" t="s">
        <v>53</v>
      </c>
      <c r="AG4" s="64">
        <f t="shared" ref="AG4:AL4" si="2">IF($L$7=AG$1,1,0)</f>
        <v>1</v>
      </c>
      <c r="AH4" s="64">
        <f t="shared" si="2"/>
        <v>0</v>
      </c>
      <c r="AI4" s="64">
        <f t="shared" si="2"/>
        <v>0</v>
      </c>
      <c r="AJ4" s="64">
        <f t="shared" si="2"/>
        <v>0</v>
      </c>
      <c r="AK4" s="64">
        <f t="shared" si="2"/>
        <v>0</v>
      </c>
      <c r="AL4" s="64">
        <f t="shared" si="2"/>
        <v>0</v>
      </c>
    </row>
    <row r="5" spans="1:38" s="1" customFormat="1" ht="18.75" customHeight="1" thickBot="1">
      <c r="A5" s="70"/>
      <c r="B5" s="19" t="s">
        <v>6</v>
      </c>
      <c r="C5" s="20"/>
      <c r="D5" s="20"/>
      <c r="E5" s="20"/>
      <c r="F5" s="20"/>
      <c r="G5" s="20"/>
      <c r="H5" s="20"/>
      <c r="I5" s="59"/>
      <c r="J5" s="174">
        <v>4</v>
      </c>
      <c r="K5" s="174"/>
      <c r="L5" s="174"/>
      <c r="M5" s="174"/>
      <c r="N5" s="174"/>
      <c r="O5" s="21"/>
      <c r="P5"/>
      <c r="Q5" s="19"/>
      <c r="R5" s="21"/>
      <c r="V5" s="2"/>
      <c r="W5" s="33"/>
      <c r="X5" s="2"/>
      <c r="Y5" s="63" t="s">
        <v>54</v>
      </c>
      <c r="Z5" s="64">
        <f>IF($G$7=Z$1,1,0)</f>
        <v>1</v>
      </c>
      <c r="AA5" s="64">
        <f>IF($G$7=AA$1,1,0)</f>
        <v>0</v>
      </c>
      <c r="AB5" s="64">
        <f>IF($G$7=AB$1,1,0)</f>
        <v>0</v>
      </c>
      <c r="AC5" s="64">
        <f>IF($G$7=AC$1,1,0)</f>
        <v>0</v>
      </c>
      <c r="AD5" s="64">
        <f>IF($G$7=AD$1,1,0)</f>
        <v>0</v>
      </c>
      <c r="AF5" s="63" t="s">
        <v>54</v>
      </c>
      <c r="AG5" s="64">
        <f t="shared" ref="AG5:AL5" si="3">IF($M$7=AG$1,1,0)</f>
        <v>0</v>
      </c>
      <c r="AH5" s="64">
        <f t="shared" si="3"/>
        <v>1</v>
      </c>
      <c r="AI5" s="64">
        <f t="shared" si="3"/>
        <v>0</v>
      </c>
      <c r="AJ5" s="64">
        <f t="shared" si="3"/>
        <v>0</v>
      </c>
      <c r="AK5" s="64">
        <f t="shared" si="3"/>
        <v>0</v>
      </c>
      <c r="AL5" s="64">
        <f t="shared" si="3"/>
        <v>0</v>
      </c>
    </row>
    <row r="6" spans="1:38" s="1" customFormat="1" ht="113.45" customHeight="1" thickBot="1">
      <c r="A6" s="70"/>
      <c r="B6" s="48" t="s">
        <v>7</v>
      </c>
      <c r="C6" s="49" t="s">
        <v>8</v>
      </c>
      <c r="D6" s="134" t="s">
        <v>9</v>
      </c>
      <c r="E6" s="135"/>
      <c r="F6" s="135"/>
      <c r="G6" s="135"/>
      <c r="H6" s="136"/>
      <c r="I6" s="68" t="s">
        <v>10</v>
      </c>
      <c r="J6" s="134" t="s">
        <v>11</v>
      </c>
      <c r="K6" s="135"/>
      <c r="L6" s="135"/>
      <c r="M6" s="135"/>
      <c r="N6" s="136"/>
      <c r="O6" s="50" t="s">
        <v>12</v>
      </c>
      <c r="P6"/>
      <c r="Q6" s="137" t="s">
        <v>86</v>
      </c>
      <c r="R6" s="138"/>
      <c r="V6" s="2"/>
      <c r="W6" s="33"/>
      <c r="X6" s="2"/>
      <c r="Y6" s="63" t="s">
        <v>55</v>
      </c>
      <c r="Z6" s="64">
        <f>IF($H$7=Z$1,1,0)</f>
        <v>1</v>
      </c>
      <c r="AA6" s="64">
        <f>IF($H$7=AA$1,1,0)</f>
        <v>0</v>
      </c>
      <c r="AB6" s="64">
        <f>IF($H$7=AB$1,1,0)</f>
        <v>0</v>
      </c>
      <c r="AC6" s="64">
        <f>IF($H$7=AC$1,1,0)</f>
        <v>0</v>
      </c>
      <c r="AD6" s="64">
        <f>IF($H$7=AD$1,1,0)</f>
        <v>0</v>
      </c>
      <c r="AF6" s="63" t="s">
        <v>55</v>
      </c>
      <c r="AG6" s="64">
        <f t="shared" ref="AG6:AL6" si="4">IF($N$7=AG$1,1,0)</f>
        <v>1</v>
      </c>
      <c r="AH6" s="64">
        <f t="shared" si="4"/>
        <v>0</v>
      </c>
      <c r="AI6" s="64">
        <f t="shared" si="4"/>
        <v>0</v>
      </c>
      <c r="AJ6" s="64">
        <f t="shared" si="4"/>
        <v>0</v>
      </c>
      <c r="AK6" s="64">
        <f t="shared" si="4"/>
        <v>0</v>
      </c>
      <c r="AL6" s="64">
        <f t="shared" si="4"/>
        <v>0</v>
      </c>
    </row>
    <row r="7" spans="1:38" s="1" customFormat="1" ht="18.75" customHeight="1" thickBot="1">
      <c r="A7" s="211" t="s">
        <v>59</v>
      </c>
      <c r="B7" s="208" t="s">
        <v>63</v>
      </c>
      <c r="C7" s="202" t="s">
        <v>73</v>
      </c>
      <c r="D7" s="72">
        <v>1</v>
      </c>
      <c r="E7" s="72">
        <v>1</v>
      </c>
      <c r="F7" s="72">
        <v>1</v>
      </c>
      <c r="G7" s="72">
        <v>1</v>
      </c>
      <c r="H7" s="72">
        <v>1</v>
      </c>
      <c r="I7" s="205">
        <v>1</v>
      </c>
      <c r="J7" s="72">
        <v>1</v>
      </c>
      <c r="K7" s="72">
        <v>1</v>
      </c>
      <c r="L7" s="72">
        <v>1</v>
      </c>
      <c r="M7" s="72">
        <v>2</v>
      </c>
      <c r="N7" s="72">
        <v>1</v>
      </c>
      <c r="O7" s="131">
        <v>20</v>
      </c>
      <c r="P7"/>
      <c r="Q7" s="139"/>
      <c r="R7" s="140"/>
      <c r="V7" s="2"/>
      <c r="W7" s="33"/>
      <c r="X7" s="2"/>
      <c r="Y7" s="63" t="s">
        <v>64</v>
      </c>
      <c r="Z7" s="64">
        <f>IF($D$8=Z$1,1,0)</f>
        <v>1</v>
      </c>
      <c r="AA7" s="64">
        <f>IF($D$8=AA$1,1,0)</f>
        <v>0</v>
      </c>
      <c r="AB7" s="64">
        <f>IF($D$8=AB$1,1,0)</f>
        <v>0</v>
      </c>
      <c r="AC7" s="64">
        <f>IF($D$8=AC$1,1,0)</f>
        <v>0</v>
      </c>
      <c r="AD7" s="64">
        <f>IF($D$8=$AD$1,1,0)</f>
        <v>0</v>
      </c>
      <c r="AF7" s="63" t="s">
        <v>64</v>
      </c>
      <c r="AG7" s="64">
        <f t="shared" ref="AG7:AL7" si="5">IF($J$8=AG$1,1,0)</f>
        <v>1</v>
      </c>
      <c r="AH7" s="64">
        <f t="shared" si="5"/>
        <v>0</v>
      </c>
      <c r="AI7" s="64">
        <f t="shared" si="5"/>
        <v>0</v>
      </c>
      <c r="AJ7" s="64">
        <f t="shared" si="5"/>
        <v>0</v>
      </c>
      <c r="AK7" s="64">
        <f t="shared" si="5"/>
        <v>0</v>
      </c>
      <c r="AL7" s="64">
        <f t="shared" si="5"/>
        <v>0</v>
      </c>
    </row>
    <row r="8" spans="1:38" s="1" customFormat="1" ht="18.75" customHeight="1" thickBot="1">
      <c r="A8" s="212"/>
      <c r="B8" s="209"/>
      <c r="C8" s="203"/>
      <c r="D8" s="86">
        <v>1</v>
      </c>
      <c r="E8" s="87">
        <v>1</v>
      </c>
      <c r="F8" s="87">
        <v>1</v>
      </c>
      <c r="G8" s="87">
        <v>2</v>
      </c>
      <c r="H8" s="88">
        <v>1</v>
      </c>
      <c r="I8" s="206"/>
      <c r="J8" s="86">
        <v>1</v>
      </c>
      <c r="K8" s="87">
        <v>2</v>
      </c>
      <c r="L8" s="87">
        <v>2</v>
      </c>
      <c r="M8" s="87">
        <v>2</v>
      </c>
      <c r="N8" s="88">
        <v>1</v>
      </c>
      <c r="O8" s="132"/>
      <c r="P8"/>
      <c r="Q8" s="139"/>
      <c r="R8" s="140"/>
      <c r="V8" s="2"/>
      <c r="W8" s="33"/>
      <c r="X8" s="2"/>
      <c r="Y8" s="63" t="s">
        <v>65</v>
      </c>
      <c r="Z8" s="64">
        <f>IF($E$8=Z$1,1,0)</f>
        <v>1</v>
      </c>
      <c r="AA8" s="64">
        <f t="shared" ref="AA8:AD8" si="6">IF($E$8=AA$1,1,0)</f>
        <v>0</v>
      </c>
      <c r="AB8" s="64">
        <f t="shared" si="6"/>
        <v>0</v>
      </c>
      <c r="AC8" s="64">
        <f t="shared" si="6"/>
        <v>0</v>
      </c>
      <c r="AD8" s="64">
        <f t="shared" si="6"/>
        <v>0</v>
      </c>
      <c r="AF8" s="63" t="s">
        <v>65</v>
      </c>
      <c r="AG8" s="64">
        <f t="shared" ref="AG8:AL8" si="7">IF($K$8=AG$1,1,0)</f>
        <v>0</v>
      </c>
      <c r="AH8" s="64">
        <f t="shared" si="7"/>
        <v>1</v>
      </c>
      <c r="AI8" s="64">
        <f t="shared" si="7"/>
        <v>0</v>
      </c>
      <c r="AJ8" s="64">
        <f t="shared" si="7"/>
        <v>0</v>
      </c>
      <c r="AK8" s="64">
        <f t="shared" si="7"/>
        <v>0</v>
      </c>
      <c r="AL8" s="64">
        <f t="shared" si="7"/>
        <v>0</v>
      </c>
    </row>
    <row r="9" spans="1:38" s="1" customFormat="1" ht="39" customHeight="1" thickBot="1">
      <c r="A9" s="213"/>
      <c r="B9" s="210"/>
      <c r="C9" s="204"/>
      <c r="D9" s="86">
        <v>1</v>
      </c>
      <c r="E9" s="87">
        <v>1</v>
      </c>
      <c r="F9" s="87">
        <v>2</v>
      </c>
      <c r="G9" s="87">
        <v>1</v>
      </c>
      <c r="H9" s="88">
        <v>1</v>
      </c>
      <c r="I9" s="207"/>
      <c r="J9" s="86">
        <v>1</v>
      </c>
      <c r="K9" s="87">
        <v>1</v>
      </c>
      <c r="L9" s="87">
        <v>2</v>
      </c>
      <c r="M9" s="87">
        <v>2</v>
      </c>
      <c r="N9" s="88">
        <v>1</v>
      </c>
      <c r="O9" s="133"/>
      <c r="P9"/>
      <c r="Q9" s="139"/>
      <c r="R9" s="140"/>
      <c r="V9" s="2"/>
      <c r="W9" s="33"/>
      <c r="X9" s="2"/>
      <c r="Y9" s="63" t="s">
        <v>66</v>
      </c>
      <c r="Z9" s="64">
        <f>IF($F$8=Z$1,1,0)</f>
        <v>1</v>
      </c>
      <c r="AA9" s="64">
        <f t="shared" ref="AA9:AD9" si="8">IF($F$8=AA$1,1,0)</f>
        <v>0</v>
      </c>
      <c r="AB9" s="64">
        <f t="shared" si="8"/>
        <v>0</v>
      </c>
      <c r="AC9" s="64">
        <f t="shared" si="8"/>
        <v>0</v>
      </c>
      <c r="AD9" s="64">
        <f t="shared" si="8"/>
        <v>0</v>
      </c>
      <c r="AF9" s="63" t="s">
        <v>66</v>
      </c>
      <c r="AG9" s="64">
        <f t="shared" ref="AG9:AL9" si="9">IF($L$8=AG$1,1,0)</f>
        <v>0</v>
      </c>
      <c r="AH9" s="64">
        <f t="shared" si="9"/>
        <v>1</v>
      </c>
      <c r="AI9" s="64">
        <f t="shared" si="9"/>
        <v>0</v>
      </c>
      <c r="AJ9" s="64">
        <f t="shared" si="9"/>
        <v>0</v>
      </c>
      <c r="AK9" s="64">
        <f t="shared" si="9"/>
        <v>0</v>
      </c>
      <c r="AL9" s="64">
        <f t="shared" si="9"/>
        <v>0</v>
      </c>
    </row>
    <row r="10" spans="1:38" s="1" customFormat="1" ht="18.75" customHeight="1" thickBot="1">
      <c r="A10" s="196" t="s">
        <v>60</v>
      </c>
      <c r="B10" s="73">
        <v>2</v>
      </c>
      <c r="C10" s="100">
        <v>6</v>
      </c>
      <c r="D10" s="128">
        <v>1</v>
      </c>
      <c r="E10" s="129"/>
      <c r="F10" s="129"/>
      <c r="G10" s="129"/>
      <c r="H10" s="130"/>
      <c r="I10" s="74" t="s">
        <v>32</v>
      </c>
      <c r="J10" s="128">
        <v>1</v>
      </c>
      <c r="K10" s="129"/>
      <c r="L10" s="129"/>
      <c r="M10" s="129"/>
      <c r="N10" s="130"/>
      <c r="O10" s="75">
        <v>6</v>
      </c>
      <c r="P10"/>
      <c r="Q10" s="141"/>
      <c r="R10" s="142"/>
      <c r="V10" s="2"/>
      <c r="W10" s="33"/>
      <c r="X10" s="2"/>
      <c r="Y10" s="63" t="s">
        <v>67</v>
      </c>
      <c r="Z10" s="64">
        <f>IF($G$8=Z$1,1,0)</f>
        <v>0</v>
      </c>
      <c r="AA10" s="64">
        <f t="shared" ref="AA10:AD10" si="10">IF($G$8=AA$1,1,0)</f>
        <v>1</v>
      </c>
      <c r="AB10" s="64">
        <f t="shared" si="10"/>
        <v>0</v>
      </c>
      <c r="AC10" s="64">
        <f t="shared" si="10"/>
        <v>0</v>
      </c>
      <c r="AD10" s="64">
        <f t="shared" si="10"/>
        <v>0</v>
      </c>
      <c r="AF10" s="63" t="s">
        <v>67</v>
      </c>
      <c r="AG10" s="64">
        <f t="shared" ref="AG10:AL10" si="11">IF($M$8=AG$1,1,0)</f>
        <v>0</v>
      </c>
      <c r="AH10" s="64">
        <f t="shared" si="11"/>
        <v>1</v>
      </c>
      <c r="AI10" s="64">
        <f t="shared" si="11"/>
        <v>0</v>
      </c>
      <c r="AJ10" s="64">
        <f t="shared" si="11"/>
        <v>0</v>
      </c>
      <c r="AK10" s="64">
        <f t="shared" si="11"/>
        <v>0</v>
      </c>
      <c r="AL10" s="64">
        <f t="shared" si="11"/>
        <v>0</v>
      </c>
    </row>
    <row r="11" spans="1:38" s="1" customFormat="1" ht="18.75" customHeight="1" thickBot="1">
      <c r="A11" s="197"/>
      <c r="B11" s="76">
        <v>3</v>
      </c>
      <c r="C11" s="101" t="s">
        <v>78</v>
      </c>
      <c r="D11" s="122">
        <v>2</v>
      </c>
      <c r="E11" s="123"/>
      <c r="F11" s="123"/>
      <c r="G11" s="123"/>
      <c r="H11" s="124"/>
      <c r="I11" s="52" t="s">
        <v>32</v>
      </c>
      <c r="J11" s="122">
        <v>1</v>
      </c>
      <c r="K11" s="123"/>
      <c r="L11" s="123"/>
      <c r="M11" s="123"/>
      <c r="N11" s="124"/>
      <c r="O11" s="77">
        <v>6</v>
      </c>
      <c r="P11"/>
      <c r="R11" s="15"/>
      <c r="V11" s="2"/>
      <c r="W11" s="33"/>
      <c r="X11" s="2"/>
      <c r="Y11" s="63" t="s">
        <v>68</v>
      </c>
      <c r="Z11" s="64">
        <f>IF($H$8=Z$1,1,0)</f>
        <v>1</v>
      </c>
      <c r="AA11" s="64">
        <f t="shared" ref="AA11:AD11" si="12">IF($H$8=AA$1,1,0)</f>
        <v>0</v>
      </c>
      <c r="AB11" s="64">
        <f t="shared" si="12"/>
        <v>0</v>
      </c>
      <c r="AC11" s="64">
        <f t="shared" si="12"/>
        <v>0</v>
      </c>
      <c r="AD11" s="64">
        <f t="shared" si="12"/>
        <v>0</v>
      </c>
      <c r="AF11" s="63" t="s">
        <v>68</v>
      </c>
      <c r="AG11" s="64">
        <f t="shared" ref="AG11:AL11" si="13">IF($N$8=AG$1,1,0)</f>
        <v>1</v>
      </c>
      <c r="AH11" s="64">
        <f t="shared" si="13"/>
        <v>0</v>
      </c>
      <c r="AI11" s="64">
        <f t="shared" si="13"/>
        <v>0</v>
      </c>
      <c r="AJ11" s="64">
        <f t="shared" si="13"/>
        <v>0</v>
      </c>
      <c r="AK11" s="64">
        <f t="shared" si="13"/>
        <v>0</v>
      </c>
      <c r="AL11" s="64">
        <f t="shared" si="13"/>
        <v>0</v>
      </c>
    </row>
    <row r="12" spans="1:38" s="1" customFormat="1" ht="18.75" customHeight="1">
      <c r="A12" s="197"/>
      <c r="B12" s="76">
        <v>4</v>
      </c>
      <c r="C12" s="101" t="s">
        <v>79</v>
      </c>
      <c r="D12" s="122">
        <v>2</v>
      </c>
      <c r="E12" s="123"/>
      <c r="F12" s="123"/>
      <c r="G12" s="123"/>
      <c r="H12" s="124"/>
      <c r="I12" s="52" t="s">
        <v>38</v>
      </c>
      <c r="J12" s="122">
        <v>1</v>
      </c>
      <c r="K12" s="123"/>
      <c r="L12" s="123"/>
      <c r="M12" s="123"/>
      <c r="N12" s="124"/>
      <c r="O12" s="77">
        <v>6</v>
      </c>
      <c r="P12"/>
      <c r="Q12" s="143" t="s">
        <v>56</v>
      </c>
      <c r="R12" s="144"/>
      <c r="V12" s="2"/>
      <c r="W12" s="33"/>
      <c r="X12" s="2"/>
      <c r="Y12" s="63" t="s">
        <v>69</v>
      </c>
      <c r="Z12" s="64">
        <f>IF($D$9=Z$1,1,0)</f>
        <v>1</v>
      </c>
      <c r="AA12" s="64">
        <f t="shared" ref="AA12:AD12" si="14">IF($D$9=AA$1,1,0)</f>
        <v>0</v>
      </c>
      <c r="AB12" s="64">
        <f t="shared" si="14"/>
        <v>0</v>
      </c>
      <c r="AC12" s="64">
        <f t="shared" si="14"/>
        <v>0</v>
      </c>
      <c r="AD12" s="64">
        <f t="shared" si="14"/>
        <v>0</v>
      </c>
      <c r="AF12" s="63" t="s">
        <v>69</v>
      </c>
      <c r="AG12" s="64">
        <f t="shared" ref="AG12:AL12" si="15">IF($J$9=AG$1,1,0)</f>
        <v>1</v>
      </c>
      <c r="AH12" s="64">
        <f t="shared" si="15"/>
        <v>0</v>
      </c>
      <c r="AI12" s="64">
        <f t="shared" si="15"/>
        <v>0</v>
      </c>
      <c r="AJ12" s="64">
        <f t="shared" si="15"/>
        <v>0</v>
      </c>
      <c r="AK12" s="64">
        <f t="shared" si="15"/>
        <v>0</v>
      </c>
      <c r="AL12" s="64">
        <f t="shared" si="15"/>
        <v>0</v>
      </c>
    </row>
    <row r="13" spans="1:38" s="1" customFormat="1" ht="18.75" customHeight="1">
      <c r="A13" s="197"/>
      <c r="B13" s="76">
        <v>5</v>
      </c>
      <c r="C13" s="101" t="s">
        <v>80</v>
      </c>
      <c r="D13" s="122">
        <v>2</v>
      </c>
      <c r="E13" s="123"/>
      <c r="F13" s="123"/>
      <c r="G13" s="123"/>
      <c r="H13" s="124"/>
      <c r="I13" s="52" t="s">
        <v>32</v>
      </c>
      <c r="J13" s="122">
        <v>1</v>
      </c>
      <c r="K13" s="123"/>
      <c r="L13" s="123"/>
      <c r="M13" s="123"/>
      <c r="N13" s="124"/>
      <c r="O13" s="77">
        <v>6</v>
      </c>
      <c r="P13"/>
      <c r="Q13" s="145"/>
      <c r="R13" s="146"/>
      <c r="V13" s="2"/>
      <c r="W13" s="33"/>
      <c r="X13" s="2"/>
      <c r="Y13" s="63" t="s">
        <v>70</v>
      </c>
      <c r="Z13" s="64">
        <f>IF($E$9=Z$1,1,0)</f>
        <v>1</v>
      </c>
      <c r="AA13" s="64">
        <f t="shared" ref="AA13:AD13" si="16">IF($E$9=AA$1,1,0)</f>
        <v>0</v>
      </c>
      <c r="AB13" s="64">
        <f t="shared" si="16"/>
        <v>0</v>
      </c>
      <c r="AC13" s="64">
        <f t="shared" si="16"/>
        <v>0</v>
      </c>
      <c r="AD13" s="64">
        <f t="shared" si="16"/>
        <v>0</v>
      </c>
      <c r="AF13" s="63" t="s">
        <v>70</v>
      </c>
      <c r="AG13" s="64">
        <f t="shared" ref="AG13:AL13" si="17">IF($K$9=AG$1,1,0)</f>
        <v>1</v>
      </c>
      <c r="AH13" s="64">
        <f t="shared" si="17"/>
        <v>0</v>
      </c>
      <c r="AI13" s="64">
        <f t="shared" si="17"/>
        <v>0</v>
      </c>
      <c r="AJ13" s="64">
        <f t="shared" si="17"/>
        <v>0</v>
      </c>
      <c r="AK13" s="64">
        <f t="shared" si="17"/>
        <v>0</v>
      </c>
      <c r="AL13" s="64">
        <f t="shared" si="17"/>
        <v>0</v>
      </c>
    </row>
    <row r="14" spans="1:38" s="1" customFormat="1" ht="29.45" customHeight="1">
      <c r="A14" s="197"/>
      <c r="B14" s="76">
        <v>6</v>
      </c>
      <c r="C14" s="102" t="s">
        <v>81</v>
      </c>
      <c r="D14" s="122">
        <v>3</v>
      </c>
      <c r="E14" s="123"/>
      <c r="F14" s="123"/>
      <c r="G14" s="123"/>
      <c r="H14" s="124"/>
      <c r="I14" s="52" t="s">
        <v>35</v>
      </c>
      <c r="J14" s="122">
        <v>1</v>
      </c>
      <c r="K14" s="123"/>
      <c r="L14" s="123"/>
      <c r="M14" s="123"/>
      <c r="N14" s="124"/>
      <c r="O14" s="77">
        <v>6</v>
      </c>
      <c r="P14"/>
      <c r="Q14" s="104" t="s">
        <v>57</v>
      </c>
      <c r="R14" s="106" t="s">
        <v>13</v>
      </c>
      <c r="V14" s="2"/>
      <c r="W14" s="33"/>
      <c r="X14" s="2"/>
      <c r="Y14" s="63" t="s">
        <v>71</v>
      </c>
      <c r="Z14" s="64">
        <f>IF($F$9=Z$1,1,0)</f>
        <v>0</v>
      </c>
      <c r="AA14" s="64">
        <f t="shared" ref="AA14:AD14" si="18">IF($F$9=AA$1,1,0)</f>
        <v>1</v>
      </c>
      <c r="AB14" s="64">
        <f t="shared" si="18"/>
        <v>0</v>
      </c>
      <c r="AC14" s="64">
        <f t="shared" si="18"/>
        <v>0</v>
      </c>
      <c r="AD14" s="64">
        <f t="shared" si="18"/>
        <v>0</v>
      </c>
      <c r="AF14" s="63" t="s">
        <v>71</v>
      </c>
      <c r="AG14" s="64">
        <f t="shared" ref="AG14:AL14" si="19">IF($L$9=AG$1,1,0)</f>
        <v>0</v>
      </c>
      <c r="AH14" s="64">
        <f t="shared" si="19"/>
        <v>1</v>
      </c>
      <c r="AI14" s="64">
        <f t="shared" si="19"/>
        <v>0</v>
      </c>
      <c r="AJ14" s="64">
        <f t="shared" si="19"/>
        <v>0</v>
      </c>
      <c r="AK14" s="64">
        <f t="shared" si="19"/>
        <v>0</v>
      </c>
      <c r="AL14" s="64">
        <f t="shared" si="19"/>
        <v>0</v>
      </c>
    </row>
    <row r="15" spans="1:38" s="1" customFormat="1" ht="33.6" customHeight="1" thickBot="1">
      <c r="A15" s="198"/>
      <c r="B15" s="78">
        <v>7</v>
      </c>
      <c r="C15" s="103" t="s">
        <v>82</v>
      </c>
      <c r="D15" s="125">
        <v>2</v>
      </c>
      <c r="E15" s="126"/>
      <c r="F15" s="126"/>
      <c r="G15" s="126"/>
      <c r="H15" s="127"/>
      <c r="I15" s="79" t="s">
        <v>29</v>
      </c>
      <c r="J15" s="125">
        <v>2</v>
      </c>
      <c r="K15" s="126"/>
      <c r="L15" s="126"/>
      <c r="M15" s="126"/>
      <c r="N15" s="127"/>
      <c r="O15" s="80">
        <v>6</v>
      </c>
      <c r="P15"/>
      <c r="Q15" s="105"/>
      <c r="R15" s="107"/>
      <c r="V15" s="2"/>
      <c r="W15" s="33"/>
      <c r="X15" s="2"/>
      <c r="Y15" s="63" t="s">
        <v>72</v>
      </c>
      <c r="Z15" s="64">
        <f>IF($G$9=Z$1,1,0)</f>
        <v>1</v>
      </c>
      <c r="AA15" s="64">
        <f t="shared" ref="AA15:AD15" si="20">IF($G$9=AA$1,1,0)</f>
        <v>0</v>
      </c>
      <c r="AB15" s="64">
        <f t="shared" si="20"/>
        <v>0</v>
      </c>
      <c r="AC15" s="64">
        <f t="shared" si="20"/>
        <v>0</v>
      </c>
      <c r="AD15" s="64">
        <f t="shared" si="20"/>
        <v>0</v>
      </c>
      <c r="AF15" s="63" t="s">
        <v>72</v>
      </c>
      <c r="AG15" s="64">
        <f t="shared" ref="AG15:AL15" si="21">IF($M$9=AG$1,1,0)</f>
        <v>0</v>
      </c>
      <c r="AH15" s="64">
        <f t="shared" si="21"/>
        <v>1</v>
      </c>
      <c r="AI15" s="64">
        <f t="shared" si="21"/>
        <v>0</v>
      </c>
      <c r="AJ15" s="64">
        <f t="shared" si="21"/>
        <v>0</v>
      </c>
      <c r="AK15" s="64">
        <f t="shared" si="21"/>
        <v>0</v>
      </c>
      <c r="AL15" s="64">
        <f t="shared" si="21"/>
        <v>0</v>
      </c>
    </row>
    <row r="16" spans="1:38" s="1" customFormat="1" ht="18.75" customHeight="1">
      <c r="A16" s="196" t="s">
        <v>61</v>
      </c>
      <c r="B16" s="81">
        <v>8</v>
      </c>
      <c r="C16" s="100" t="s">
        <v>83</v>
      </c>
      <c r="D16" s="128">
        <v>3</v>
      </c>
      <c r="E16" s="129"/>
      <c r="F16" s="129"/>
      <c r="G16" s="129"/>
      <c r="H16" s="130"/>
      <c r="I16" s="74" t="s">
        <v>35</v>
      </c>
      <c r="J16" s="128">
        <v>1</v>
      </c>
      <c r="K16" s="129"/>
      <c r="L16" s="129"/>
      <c r="M16" s="129"/>
      <c r="N16" s="130"/>
      <c r="O16" s="75">
        <v>12</v>
      </c>
      <c r="P16"/>
      <c r="Q16" s="22">
        <v>1</v>
      </c>
      <c r="R16" s="8">
        <f>Z26*100/42</f>
        <v>35.714285714285715</v>
      </c>
      <c r="V16" s="2"/>
      <c r="W16" s="33"/>
      <c r="X16" s="2"/>
      <c r="Y16" s="63" t="s">
        <v>73</v>
      </c>
      <c r="Z16" s="64">
        <f>IF($H$9=Z$1,1,0)</f>
        <v>1</v>
      </c>
      <c r="AA16" s="64">
        <f t="shared" ref="AA16:AD16" si="22">IF($H$9=AA$1,1,0)</f>
        <v>0</v>
      </c>
      <c r="AB16" s="64">
        <f t="shared" si="22"/>
        <v>0</v>
      </c>
      <c r="AC16" s="64">
        <f t="shared" si="22"/>
        <v>0</v>
      </c>
      <c r="AD16" s="64">
        <f t="shared" si="22"/>
        <v>0</v>
      </c>
      <c r="AF16" s="63" t="s">
        <v>73</v>
      </c>
      <c r="AG16" s="64">
        <f t="shared" ref="AG16:AL16" si="23">IF($N$9=AG$1,1,0)</f>
        <v>1</v>
      </c>
      <c r="AH16" s="64">
        <f t="shared" si="23"/>
        <v>0</v>
      </c>
      <c r="AI16" s="64">
        <f t="shared" si="23"/>
        <v>0</v>
      </c>
      <c r="AJ16" s="64">
        <f t="shared" si="23"/>
        <v>0</v>
      </c>
      <c r="AK16" s="64">
        <f t="shared" si="23"/>
        <v>0</v>
      </c>
      <c r="AL16" s="64">
        <f t="shared" si="23"/>
        <v>0</v>
      </c>
    </row>
    <row r="17" spans="1:38" s="1" customFormat="1" ht="42" customHeight="1">
      <c r="A17" s="197"/>
      <c r="B17" s="82">
        <v>9</v>
      </c>
      <c r="C17" s="101" t="s">
        <v>84</v>
      </c>
      <c r="D17" s="122">
        <v>4</v>
      </c>
      <c r="E17" s="123"/>
      <c r="F17" s="123"/>
      <c r="G17" s="123"/>
      <c r="H17" s="124"/>
      <c r="I17" s="52" t="s">
        <v>41</v>
      </c>
      <c r="J17" s="122">
        <v>2</v>
      </c>
      <c r="K17" s="123"/>
      <c r="L17" s="123"/>
      <c r="M17" s="123"/>
      <c r="N17" s="124"/>
      <c r="O17" s="77">
        <v>15</v>
      </c>
      <c r="P17"/>
      <c r="Q17" s="22">
        <v>2</v>
      </c>
      <c r="R17" s="8">
        <f>AA26*100/42</f>
        <v>23.80952380952381</v>
      </c>
      <c r="V17" s="2"/>
      <c r="W17" s="33"/>
      <c r="Y17" s="65">
        <v>2</v>
      </c>
      <c r="Z17" s="65">
        <f>IF($D$10=Z$1,2,0)</f>
        <v>2</v>
      </c>
      <c r="AA17" s="65">
        <f>IF($D$10=AA$1,2,0)</f>
        <v>0</v>
      </c>
      <c r="AB17" s="65">
        <f>IF($D$10=AB$1,2,0)</f>
        <v>0</v>
      </c>
      <c r="AC17" s="65">
        <f>IF($D$10=AC$1,2,0)</f>
        <v>0</v>
      </c>
      <c r="AD17" s="65">
        <f>IF($D$10=AD$1,2,0)</f>
        <v>0</v>
      </c>
      <c r="AF17" s="65">
        <v>2</v>
      </c>
      <c r="AG17" s="65">
        <f t="shared" ref="AG17:AL17" si="24">IF($J$10=AG$1,2,0)</f>
        <v>2</v>
      </c>
      <c r="AH17" s="65">
        <f t="shared" si="24"/>
        <v>0</v>
      </c>
      <c r="AI17" s="65">
        <f t="shared" si="24"/>
        <v>0</v>
      </c>
      <c r="AJ17" s="65">
        <f t="shared" si="24"/>
        <v>0</v>
      </c>
      <c r="AK17" s="65">
        <f t="shared" si="24"/>
        <v>0</v>
      </c>
      <c r="AL17" s="65">
        <f t="shared" si="24"/>
        <v>0</v>
      </c>
    </row>
    <row r="18" spans="1:38" s="1" customFormat="1" ht="30.95" customHeight="1">
      <c r="A18" s="197"/>
      <c r="B18" s="82">
        <v>10</v>
      </c>
      <c r="C18" s="101" t="s">
        <v>85</v>
      </c>
      <c r="D18" s="122">
        <v>4</v>
      </c>
      <c r="E18" s="123"/>
      <c r="F18" s="123"/>
      <c r="G18" s="123"/>
      <c r="H18" s="124"/>
      <c r="I18" s="52" t="s">
        <v>41</v>
      </c>
      <c r="J18" s="122">
        <v>2</v>
      </c>
      <c r="K18" s="123"/>
      <c r="L18" s="123"/>
      <c r="M18" s="123"/>
      <c r="N18" s="124"/>
      <c r="O18" s="77">
        <v>15</v>
      </c>
      <c r="P18"/>
      <c r="Q18" s="22">
        <v>3</v>
      </c>
      <c r="R18" s="8">
        <f>AB26*100/42</f>
        <v>16.666666666666668</v>
      </c>
      <c r="V18" s="2"/>
      <c r="W18" s="33"/>
      <c r="Y18" s="65">
        <v>3</v>
      </c>
      <c r="Z18" s="65">
        <f>IF($D$11=Z$1,2,0)</f>
        <v>0</v>
      </c>
      <c r="AA18" s="65">
        <f>IF($D$11=AA$1,2,0)</f>
        <v>2</v>
      </c>
      <c r="AB18" s="65">
        <f>IF($D$11=AB$1,2,0)</f>
        <v>0</v>
      </c>
      <c r="AC18" s="65">
        <f>IF($D$11=AC$1,2,0)</f>
        <v>0</v>
      </c>
      <c r="AD18" s="65">
        <f>IF($D$11=AD$1,2,0)</f>
        <v>0</v>
      </c>
      <c r="AF18" s="65">
        <v>3</v>
      </c>
      <c r="AG18" s="65">
        <f t="shared" ref="AG18:AL18" si="25">IF($J$11=AG$1,2,0)</f>
        <v>2</v>
      </c>
      <c r="AH18" s="65">
        <f t="shared" si="25"/>
        <v>0</v>
      </c>
      <c r="AI18" s="65">
        <f t="shared" si="25"/>
        <v>0</v>
      </c>
      <c r="AJ18" s="65">
        <f t="shared" si="25"/>
        <v>0</v>
      </c>
      <c r="AK18" s="65">
        <f t="shared" si="25"/>
        <v>0</v>
      </c>
      <c r="AL18" s="65">
        <f t="shared" si="25"/>
        <v>0</v>
      </c>
    </row>
    <row r="19" spans="1:38" s="1" customFormat="1" ht="30.95" customHeight="1">
      <c r="A19" s="199"/>
      <c r="B19" s="89"/>
      <c r="C19" s="89"/>
      <c r="D19" s="94"/>
      <c r="E19" s="95"/>
      <c r="F19" s="95"/>
      <c r="G19" s="95"/>
      <c r="H19" s="96"/>
      <c r="I19" s="91"/>
      <c r="J19" s="94"/>
      <c r="K19" s="95"/>
      <c r="L19" s="95"/>
      <c r="M19" s="95"/>
      <c r="N19" s="96"/>
      <c r="O19" s="92"/>
      <c r="P19"/>
      <c r="Q19" s="22">
        <v>4</v>
      </c>
      <c r="R19" s="8">
        <f>AC26*100/42</f>
        <v>23.80952380952381</v>
      </c>
      <c r="V19" s="2"/>
      <c r="W19" s="33"/>
      <c r="Y19" s="65">
        <v>4</v>
      </c>
      <c r="Z19" s="65">
        <f>IF($D$12=Z$1,2,0)</f>
        <v>0</v>
      </c>
      <c r="AA19" s="65">
        <f>IF($D$12=AA$1,2,0)</f>
        <v>2</v>
      </c>
      <c r="AB19" s="65">
        <f>IF($D$12=AB$1,2,0)</f>
        <v>0</v>
      </c>
      <c r="AC19" s="65">
        <f>IF($D$12=AC$1,2,0)</f>
        <v>0</v>
      </c>
      <c r="AD19" s="65">
        <f>IF($D$12=AD$1,2,0)</f>
        <v>0</v>
      </c>
      <c r="AF19" s="65">
        <v>4</v>
      </c>
      <c r="AG19" s="65">
        <f t="shared" ref="AG19:AL19" si="26">IF($J$12=AG$1,2,0)</f>
        <v>2</v>
      </c>
      <c r="AH19" s="65">
        <f t="shared" si="26"/>
        <v>0</v>
      </c>
      <c r="AI19" s="65">
        <f t="shared" si="26"/>
        <v>0</v>
      </c>
      <c r="AJ19" s="65">
        <f t="shared" si="26"/>
        <v>0</v>
      </c>
      <c r="AK19" s="65">
        <f t="shared" si="26"/>
        <v>0</v>
      </c>
      <c r="AL19" s="65">
        <f t="shared" si="26"/>
        <v>0</v>
      </c>
    </row>
    <row r="20" spans="1:38" s="1" customFormat="1" ht="24" customHeight="1" thickBot="1">
      <c r="B20" s="93"/>
      <c r="C20" s="93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/>
      <c r="Q20" s="22">
        <v>5</v>
      </c>
      <c r="R20" s="8">
        <f>AD26*100/42</f>
        <v>0</v>
      </c>
      <c r="V20" s="2"/>
      <c r="W20" s="33"/>
      <c r="Y20" s="65">
        <v>5</v>
      </c>
      <c r="Z20" s="65">
        <f>IF($D$13=Z$1,2,0)</f>
        <v>0</v>
      </c>
      <c r="AA20" s="65">
        <f>IF($D$13=AA$1,2,0)</f>
        <v>2</v>
      </c>
      <c r="AB20" s="65">
        <f>IF($D$13=AB$1,2,0)</f>
        <v>0</v>
      </c>
      <c r="AC20" s="65">
        <f>IF($D$13=AC$1,2,0)</f>
        <v>0</v>
      </c>
      <c r="AD20" s="65">
        <f>IF($D$13=AD$1,2,0)</f>
        <v>0</v>
      </c>
      <c r="AF20" s="65">
        <v>5</v>
      </c>
      <c r="AG20" s="65">
        <f t="shared" ref="AG20:AL20" si="27">IF($J$13=AG$1,2,0)</f>
        <v>2</v>
      </c>
      <c r="AH20" s="65">
        <f t="shared" si="27"/>
        <v>0</v>
      </c>
      <c r="AI20" s="65">
        <f t="shared" si="27"/>
        <v>0</v>
      </c>
      <c r="AJ20" s="65">
        <f t="shared" si="27"/>
        <v>0</v>
      </c>
      <c r="AK20" s="65">
        <f t="shared" si="27"/>
        <v>0</v>
      </c>
      <c r="AL20" s="65">
        <f t="shared" si="27"/>
        <v>0</v>
      </c>
    </row>
    <row r="21" spans="1:38" s="1" customFormat="1" ht="51" customHeight="1" thickBot="1">
      <c r="B21" s="110" t="s">
        <v>17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2"/>
      <c r="O21" s="108" t="str">
        <f>CONCATENATE(SUM(O7:O18)-MIN(O10:O15)-MIN(O16:O18)," Minutes (Excluding Choice)")</f>
        <v>80 Minutes (Excluding Choice)</v>
      </c>
      <c r="P21"/>
      <c r="Q21" s="24" t="s">
        <v>14</v>
      </c>
      <c r="R21" s="23">
        <f>SUM(R16:R20)</f>
        <v>100</v>
      </c>
      <c r="V21" s="2"/>
      <c r="W21" s="33"/>
      <c r="Y21" s="65">
        <v>6</v>
      </c>
      <c r="Z21" s="65">
        <f>IF($D$14=Z$1,2,0)</f>
        <v>0</v>
      </c>
      <c r="AA21" s="65">
        <f>IF($D$14=AA$1,2,0)</f>
        <v>0</v>
      </c>
      <c r="AB21" s="65">
        <f>IF($D$14=AB$1,2,0)</f>
        <v>2</v>
      </c>
      <c r="AC21" s="65">
        <f>IF($D$14=AC$1,2,0)</f>
        <v>0</v>
      </c>
      <c r="AD21" s="65">
        <f>IF($D$14=AD$1,2,0)</f>
        <v>0</v>
      </c>
      <c r="AF21" s="65">
        <v>6</v>
      </c>
      <c r="AG21" s="65">
        <f t="shared" ref="AG21:AL21" si="28">IF($J$14=AG$1,2,0)</f>
        <v>2</v>
      </c>
      <c r="AH21" s="65">
        <f t="shared" si="28"/>
        <v>0</v>
      </c>
      <c r="AI21" s="65">
        <f t="shared" si="28"/>
        <v>0</v>
      </c>
      <c r="AJ21" s="65">
        <f t="shared" si="28"/>
        <v>0</v>
      </c>
      <c r="AK21" s="65">
        <f t="shared" si="28"/>
        <v>0</v>
      </c>
      <c r="AL21" s="65">
        <f t="shared" si="28"/>
        <v>0</v>
      </c>
    </row>
    <row r="22" spans="1:38" s="1" customFormat="1" ht="33" customHeight="1" thickBot="1">
      <c r="B22" s="113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5"/>
      <c r="O22" s="109"/>
      <c r="P22"/>
      <c r="R22" s="15"/>
      <c r="V22" s="2"/>
      <c r="W22" s="33"/>
      <c r="Y22" s="65">
        <v>7</v>
      </c>
      <c r="Z22" s="65">
        <f>IF($D$15=Z$1,2,0)</f>
        <v>0</v>
      </c>
      <c r="AA22" s="65">
        <f>IF($D$15=AA$1,2,0)</f>
        <v>2</v>
      </c>
      <c r="AB22" s="65">
        <f>IF($D$15=AB$1,2,0)</f>
        <v>0</v>
      </c>
      <c r="AC22" s="65">
        <f>IF($D$15=AC$1,2,0)</f>
        <v>0</v>
      </c>
      <c r="AD22" s="65">
        <f>IF($D$15=AD$1,2,0)</f>
        <v>0</v>
      </c>
      <c r="AF22" s="65">
        <v>7</v>
      </c>
      <c r="AG22" s="65">
        <f t="shared" ref="AG22:AL22" si="29">IF($J$15=AG$1,2,0)</f>
        <v>0</v>
      </c>
      <c r="AH22" s="65">
        <f t="shared" si="29"/>
        <v>2</v>
      </c>
      <c r="AI22" s="65">
        <f t="shared" si="29"/>
        <v>0</v>
      </c>
      <c r="AJ22" s="65">
        <f t="shared" si="29"/>
        <v>0</v>
      </c>
      <c r="AK22" s="65">
        <f t="shared" si="29"/>
        <v>0</v>
      </c>
      <c r="AL22" s="65">
        <f t="shared" si="29"/>
        <v>0</v>
      </c>
    </row>
    <row r="23" spans="1:38" s="1" customFormat="1" ht="18.75" customHeight="1" thickBot="1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55"/>
      <c r="P23"/>
      <c r="R23" s="15"/>
      <c r="W23" s="33"/>
      <c r="Y23" s="56">
        <v>8</v>
      </c>
      <c r="Z23" s="56">
        <f>IF($D$16=Z$1,5,0)</f>
        <v>0</v>
      </c>
      <c r="AA23" s="56">
        <f>IF($D$16=AA$1,5,0)</f>
        <v>0</v>
      </c>
      <c r="AB23" s="56">
        <f>IF($D$16=AB$1,5,0)</f>
        <v>5</v>
      </c>
      <c r="AC23" s="56">
        <f>IF($D$16=AC$1,5,0)</f>
        <v>0</v>
      </c>
      <c r="AD23" s="56">
        <f>IF($D$16=AD$1,5,0)</f>
        <v>0</v>
      </c>
      <c r="AF23" s="56">
        <v>8</v>
      </c>
      <c r="AG23" s="56">
        <f t="shared" ref="AG23:AL23" si="30">IF($J$16=AG$1,5,0)</f>
        <v>5</v>
      </c>
      <c r="AH23" s="56">
        <f t="shared" si="30"/>
        <v>0</v>
      </c>
      <c r="AI23" s="56">
        <f t="shared" si="30"/>
        <v>0</v>
      </c>
      <c r="AJ23" s="56">
        <f t="shared" si="30"/>
        <v>0</v>
      </c>
      <c r="AK23" s="56">
        <f t="shared" si="30"/>
        <v>0</v>
      </c>
      <c r="AL23" s="56">
        <f t="shared" si="30"/>
        <v>0</v>
      </c>
    </row>
    <row r="24" spans="1:38" s="1" customFormat="1" ht="18.75" customHeight="1">
      <c r="B24" s="116" t="s">
        <v>23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8"/>
      <c r="P24"/>
      <c r="Q24" s="110" t="s">
        <v>15</v>
      </c>
      <c r="R24" s="167"/>
      <c r="W24" s="33"/>
      <c r="Y24" s="56">
        <v>9</v>
      </c>
      <c r="Z24" s="56">
        <f>IF($D$17=Z$1,5,0)</f>
        <v>0</v>
      </c>
      <c r="AA24" s="56">
        <f>IF($D$17=AA$1,5,0)</f>
        <v>0</v>
      </c>
      <c r="AB24" s="56">
        <f>IF($D$17=AB$1,5,0)</f>
        <v>0</v>
      </c>
      <c r="AC24" s="56">
        <f>IF($D$17=AC$1,5,0)</f>
        <v>5</v>
      </c>
      <c r="AD24" s="56">
        <f>IF($D$17=AD$1,5,0)</f>
        <v>0</v>
      </c>
      <c r="AF24" s="56">
        <v>9</v>
      </c>
      <c r="AG24" s="56">
        <f t="shared" ref="AG24:AL24" si="31">IF($J$17=AG$1,5,0)</f>
        <v>0</v>
      </c>
      <c r="AH24" s="56">
        <f t="shared" si="31"/>
        <v>5</v>
      </c>
      <c r="AI24" s="56">
        <f t="shared" si="31"/>
        <v>0</v>
      </c>
      <c r="AJ24" s="56">
        <f t="shared" si="31"/>
        <v>0</v>
      </c>
      <c r="AK24" s="56">
        <f t="shared" si="31"/>
        <v>0</v>
      </c>
      <c r="AL24" s="56">
        <f t="shared" si="31"/>
        <v>0</v>
      </c>
    </row>
    <row r="25" spans="1:38" s="1" customFormat="1" ht="28.35" customHeight="1">
      <c r="B25" s="119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1"/>
      <c r="P25"/>
      <c r="Q25" s="168"/>
      <c r="R25" s="169"/>
      <c r="U25" s="2"/>
      <c r="W25" s="33"/>
      <c r="Y25" s="56">
        <v>10</v>
      </c>
      <c r="Z25" s="56">
        <f>IF($D$18=Z$1,5,0)</f>
        <v>0</v>
      </c>
      <c r="AA25" s="56">
        <f>IF($D$18=AA$1,5,0)</f>
        <v>0</v>
      </c>
      <c r="AB25" s="56">
        <f>IF($D$18=AB$1,5,0)</f>
        <v>0</v>
      </c>
      <c r="AC25" s="56">
        <f>IF($D$18=AC$1,5,0)</f>
        <v>5</v>
      </c>
      <c r="AD25" s="56">
        <f>IF($D$18=AD$1,5,0)</f>
        <v>0</v>
      </c>
      <c r="AE25" s="69"/>
      <c r="AF25" s="56">
        <v>10</v>
      </c>
      <c r="AG25" s="56">
        <f t="shared" ref="AG25:AL25" si="32">IF($J$18=AG$1,5,0)</f>
        <v>0</v>
      </c>
      <c r="AH25" s="56">
        <f t="shared" si="32"/>
        <v>5</v>
      </c>
      <c r="AI25" s="56">
        <f t="shared" si="32"/>
        <v>0</v>
      </c>
      <c r="AJ25" s="56">
        <f t="shared" si="32"/>
        <v>0</v>
      </c>
      <c r="AK25" s="56">
        <f t="shared" si="32"/>
        <v>0</v>
      </c>
      <c r="AL25" s="56">
        <f t="shared" si="32"/>
        <v>0</v>
      </c>
    </row>
    <row r="26" spans="1:38" s="1" customFormat="1" ht="18.75" customHeight="1">
      <c r="B26" s="45">
        <v>1</v>
      </c>
      <c r="C26" s="214" t="s">
        <v>87</v>
      </c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5"/>
      <c r="P26"/>
      <c r="Q26" s="172" t="s">
        <v>16</v>
      </c>
      <c r="R26" s="170" t="s">
        <v>13</v>
      </c>
      <c r="U26" s="2"/>
      <c r="W26" s="33"/>
      <c r="Y26" s="56" t="s">
        <v>14</v>
      </c>
      <c r="Z26" s="57">
        <f>SUM(Z2:Z25)</f>
        <v>15</v>
      </c>
      <c r="AA26" s="57">
        <f>SUM(AA2:AA25)</f>
        <v>10</v>
      </c>
      <c r="AB26" s="57">
        <f>SUM(AB2:AB25)</f>
        <v>7</v>
      </c>
      <c r="AC26" s="57">
        <f>SUM(AC2:AC25)</f>
        <v>10</v>
      </c>
      <c r="AD26" s="57">
        <f>SUM(AD2:AD25)</f>
        <v>0</v>
      </c>
      <c r="AF26" s="56" t="s">
        <v>14</v>
      </c>
      <c r="AG26" s="57">
        <f t="shared" ref="AG26:AL26" si="33">SUM(AG2:AG25)</f>
        <v>24</v>
      </c>
      <c r="AH26" s="57">
        <f t="shared" si="33"/>
        <v>18</v>
      </c>
      <c r="AI26" s="57">
        <f t="shared" si="33"/>
        <v>0</v>
      </c>
      <c r="AJ26" s="57">
        <f t="shared" si="33"/>
        <v>0</v>
      </c>
      <c r="AK26" s="57">
        <f t="shared" si="33"/>
        <v>0</v>
      </c>
      <c r="AL26" s="57">
        <f t="shared" si="33"/>
        <v>0</v>
      </c>
    </row>
    <row r="27" spans="1:38" s="1" customFormat="1" ht="18.75" customHeight="1" thickBot="1">
      <c r="B27" s="45">
        <v>2</v>
      </c>
      <c r="C27" s="214" t="s">
        <v>88</v>
      </c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5"/>
      <c r="P27"/>
      <c r="Q27" s="173"/>
      <c r="R27" s="171"/>
      <c r="U27" s="2"/>
      <c r="W27" s="33"/>
      <c r="Y27" s="66"/>
      <c r="Z27" s="66"/>
      <c r="AA27" s="66"/>
      <c r="AB27" s="66"/>
      <c r="AC27" s="66"/>
      <c r="AD27" s="66"/>
      <c r="AE27" s="69"/>
      <c r="AF27" s="66"/>
      <c r="AG27" s="66"/>
      <c r="AH27" s="66"/>
      <c r="AI27" s="66"/>
      <c r="AJ27" s="66"/>
      <c r="AK27" s="66"/>
      <c r="AL27" s="66"/>
    </row>
    <row r="28" spans="1:38" s="1" customFormat="1" ht="18.75" customHeight="1">
      <c r="B28" s="45">
        <v>3</v>
      </c>
      <c r="C28" s="214" t="s">
        <v>89</v>
      </c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5"/>
      <c r="P28"/>
      <c r="Q28" s="53" t="s">
        <v>18</v>
      </c>
      <c r="R28" s="54">
        <f>AG26*100/42</f>
        <v>57.142857142857146</v>
      </c>
      <c r="U28" s="2"/>
      <c r="W28" s="33"/>
      <c r="Y28" s="66"/>
      <c r="Z28" s="66"/>
      <c r="AA28" s="66"/>
      <c r="AB28" s="66"/>
      <c r="AC28" s="66"/>
      <c r="AD28" s="66"/>
      <c r="AE28" s="69"/>
      <c r="AF28" s="66"/>
      <c r="AG28" s="66"/>
      <c r="AH28" s="66"/>
      <c r="AI28" s="66"/>
      <c r="AJ28" s="66"/>
      <c r="AK28" s="66"/>
      <c r="AL28" s="66"/>
    </row>
    <row r="29" spans="1:38" s="1" customFormat="1" ht="18.75" customHeight="1">
      <c r="B29" s="45">
        <v>4</v>
      </c>
      <c r="C29" s="214" t="s">
        <v>90</v>
      </c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/>
      <c r="Q29" s="22" t="s">
        <v>19</v>
      </c>
      <c r="R29" s="8">
        <f>AH26*100/42</f>
        <v>42.857142857142854</v>
      </c>
      <c r="U29" s="2"/>
      <c r="W29" s="33"/>
    </row>
    <row r="30" spans="1:38" s="1" customFormat="1" ht="18.75" customHeight="1" thickBot="1">
      <c r="B30" s="45">
        <v>5</v>
      </c>
      <c r="C30" s="216" t="s">
        <v>91</v>
      </c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8"/>
      <c r="P30"/>
      <c r="Q30" s="22" t="s">
        <v>20</v>
      </c>
      <c r="R30" s="8">
        <f>AI26*100/42</f>
        <v>0</v>
      </c>
      <c r="U30" s="2"/>
      <c r="W30" s="33"/>
    </row>
    <row r="31" spans="1:38" s="1" customFormat="1" ht="30" customHeight="1" thickBot="1">
      <c r="A31" s="200"/>
      <c r="B31" s="46">
        <v>6</v>
      </c>
      <c r="C31" s="219" t="s">
        <v>92</v>
      </c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1"/>
      <c r="Q31" s="22" t="s">
        <v>21</v>
      </c>
      <c r="R31" s="8">
        <f>AJ26*100/42</f>
        <v>0</v>
      </c>
      <c r="U31" s="2"/>
      <c r="W31" s="33"/>
      <c r="Y31" s="67"/>
      <c r="Z31" s="67"/>
      <c r="AA31" s="67"/>
      <c r="AB31" s="67"/>
      <c r="AC31" s="67"/>
      <c r="AD31" s="67"/>
      <c r="AF31" s="67"/>
      <c r="AG31" s="67"/>
      <c r="AH31" s="67"/>
      <c r="AI31" s="67"/>
      <c r="AJ31" s="67"/>
      <c r="AK31" s="67"/>
      <c r="AL31" s="67"/>
    </row>
    <row r="32" spans="1:38" s="1" customFormat="1" ht="30" customHeight="1">
      <c r="A32" s="201"/>
      <c r="P32" s="51"/>
      <c r="Q32" s="22" t="s">
        <v>22</v>
      </c>
      <c r="R32" s="8">
        <f>AK26*100/42</f>
        <v>0</v>
      </c>
      <c r="W32" s="33"/>
      <c r="Y32" s="67"/>
      <c r="Z32" s="67"/>
      <c r="AA32" s="67"/>
      <c r="AB32" s="67"/>
      <c r="AC32" s="67"/>
      <c r="AD32" s="67"/>
      <c r="AF32" s="67"/>
      <c r="AG32" s="67"/>
      <c r="AH32" s="67"/>
      <c r="AI32" s="67"/>
      <c r="AJ32" s="67"/>
      <c r="AK32" s="67"/>
      <c r="AL32" s="67"/>
    </row>
    <row r="33" spans="1:38" s="1" customFormat="1" ht="18" customHeight="1">
      <c r="A33" s="70"/>
      <c r="Q33" s="22" t="s">
        <v>24</v>
      </c>
      <c r="R33" s="8">
        <f>AL26*100/42</f>
        <v>0</v>
      </c>
      <c r="W33" s="33"/>
      <c r="Y33" s="67"/>
      <c r="Z33" s="67"/>
      <c r="AA33" s="67"/>
      <c r="AB33" s="67"/>
      <c r="AC33" s="67"/>
      <c r="AD33" s="67"/>
      <c r="AF33" s="67"/>
      <c r="AG33" s="67"/>
      <c r="AH33" s="67"/>
      <c r="AI33" s="67"/>
      <c r="AJ33" s="67"/>
      <c r="AK33" s="67"/>
      <c r="AL33" s="67"/>
    </row>
    <row r="34" spans="1:38" s="1" customFormat="1" ht="18" customHeight="1" thickBot="1">
      <c r="A34" s="70"/>
      <c r="Q34" s="24" t="s">
        <v>25</v>
      </c>
      <c r="R34" s="23">
        <f>SUM(R28:R33)</f>
        <v>100</v>
      </c>
      <c r="W34" s="33"/>
    </row>
    <row r="35" spans="1:38" s="1" customFormat="1" ht="19.5" customHeight="1">
      <c r="A35" s="70"/>
      <c r="W35" s="33"/>
      <c r="Y35" s="2"/>
      <c r="AF35" s="2"/>
    </row>
    <row r="36" spans="1:38" s="1" customFormat="1" ht="14.25" customHeight="1">
      <c r="A36" s="70"/>
      <c r="W36" s="33"/>
      <c r="Y36" s="2"/>
      <c r="AF36" s="2"/>
    </row>
    <row r="37" spans="1:38" s="1" customFormat="1" ht="18.75" customHeight="1" thickBot="1">
      <c r="A37" s="70"/>
      <c r="B37" s="2"/>
      <c r="C37" s="33"/>
      <c r="D37" s="33"/>
      <c r="E37" s="33"/>
      <c r="F37" s="33"/>
      <c r="G37" s="33"/>
      <c r="H37" s="33"/>
      <c r="I37" s="2"/>
      <c r="J37" s="33"/>
      <c r="K37" s="33"/>
      <c r="L37" s="33"/>
      <c r="M37" s="33"/>
      <c r="N37" s="33"/>
      <c r="O37" s="33"/>
      <c r="P37" s="33"/>
      <c r="Q37" s="33"/>
      <c r="R37" s="33"/>
      <c r="W37" s="33"/>
      <c r="Y37" s="2"/>
      <c r="AF37" s="2"/>
    </row>
    <row r="38" spans="1:38" s="1" customFormat="1" ht="24" customHeight="1">
      <c r="A38" s="70"/>
      <c r="B38" s="25" t="s">
        <v>26</v>
      </c>
      <c r="C38" s="147" t="s">
        <v>27</v>
      </c>
      <c r="D38" s="148"/>
      <c r="E38" s="148"/>
      <c r="F38" s="149"/>
      <c r="G38" s="147" t="s">
        <v>28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50"/>
      <c r="W38" s="33"/>
      <c r="Y38" s="2"/>
      <c r="AF38" s="2"/>
    </row>
    <row r="39" spans="1:38" s="1" customFormat="1" ht="17.25" customHeight="1">
      <c r="A39" s="70"/>
      <c r="B39" s="41" t="s">
        <v>29</v>
      </c>
      <c r="C39" s="97" t="s">
        <v>30</v>
      </c>
      <c r="D39" s="98"/>
      <c r="E39" s="98"/>
      <c r="F39" s="99"/>
      <c r="G39" s="151" t="s">
        <v>31</v>
      </c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W39" s="33"/>
      <c r="Y39" s="2"/>
      <c r="AF39" s="2"/>
    </row>
    <row r="40" spans="1:38" s="1" customFormat="1" ht="18.75" customHeight="1">
      <c r="A40" s="70"/>
      <c r="B40" s="41" t="s">
        <v>32</v>
      </c>
      <c r="C40" s="97" t="s">
        <v>33</v>
      </c>
      <c r="D40" s="98"/>
      <c r="E40" s="98"/>
      <c r="F40" s="99"/>
      <c r="G40" s="153" t="s">
        <v>34</v>
      </c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5"/>
      <c r="W40" s="33"/>
      <c r="Y40" s="2"/>
      <c r="AF40" s="2"/>
    </row>
    <row r="41" spans="1:38" s="1" customFormat="1" ht="18.75" customHeight="1">
      <c r="A41" s="70"/>
      <c r="B41" s="41" t="s">
        <v>35</v>
      </c>
      <c r="C41" s="175" t="s">
        <v>36</v>
      </c>
      <c r="D41" s="176"/>
      <c r="E41" s="176"/>
      <c r="F41" s="177"/>
      <c r="G41" s="178" t="s">
        <v>37</v>
      </c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80"/>
      <c r="W41" s="33"/>
      <c r="Y41" s="2"/>
      <c r="AF41" s="2"/>
    </row>
    <row r="42" spans="1:38" s="1" customFormat="1" ht="20.25" customHeight="1">
      <c r="A42" s="70"/>
      <c r="B42" s="41" t="s">
        <v>38</v>
      </c>
      <c r="C42" s="175" t="s">
        <v>39</v>
      </c>
      <c r="D42" s="176"/>
      <c r="E42" s="176"/>
      <c r="F42" s="177"/>
      <c r="G42" s="178" t="s">
        <v>40</v>
      </c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80"/>
      <c r="W42" s="33"/>
      <c r="Y42" s="2"/>
      <c r="AF42" s="2"/>
    </row>
    <row r="43" spans="1:38" s="1" customFormat="1" ht="19.5" customHeight="1">
      <c r="A43" s="70"/>
      <c r="B43" s="41" t="s">
        <v>41</v>
      </c>
      <c r="C43" s="175" t="s">
        <v>42</v>
      </c>
      <c r="D43" s="176"/>
      <c r="E43" s="176"/>
      <c r="F43" s="177"/>
      <c r="G43" s="187" t="s">
        <v>49</v>
      </c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9"/>
      <c r="W43" s="33"/>
      <c r="Y43" s="2"/>
      <c r="AF43" s="2"/>
    </row>
    <row r="44" spans="1:38" s="1" customFormat="1" ht="18.75" customHeight="1" thickBot="1">
      <c r="A44" s="70"/>
      <c r="B44" s="42" t="s">
        <v>43</v>
      </c>
      <c r="C44" s="184" t="s">
        <v>44</v>
      </c>
      <c r="D44" s="185"/>
      <c r="E44" s="185"/>
      <c r="F44" s="186"/>
      <c r="G44" s="190" t="s">
        <v>45</v>
      </c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2"/>
      <c r="W44" s="33"/>
      <c r="X44" s="2"/>
      <c r="Y44" s="2"/>
      <c r="AF44" s="2"/>
    </row>
    <row r="45" spans="1:38" s="1" customFormat="1" ht="18.75" customHeight="1" thickBot="1">
      <c r="A45" s="70"/>
      <c r="B45" s="35"/>
      <c r="C45" s="36"/>
      <c r="D45" s="36"/>
      <c r="E45" s="36"/>
      <c r="F45" s="36"/>
      <c r="G45" s="36"/>
      <c r="H45" s="37"/>
      <c r="I45" s="34"/>
      <c r="J45"/>
      <c r="K45"/>
      <c r="L45"/>
      <c r="M45"/>
      <c r="N45" s="34"/>
      <c r="O45" s="34"/>
      <c r="P45"/>
      <c r="Q45"/>
      <c r="R45" s="7"/>
      <c r="W45" s="33"/>
      <c r="Y45" s="2"/>
      <c r="AF45" s="2"/>
    </row>
    <row r="46" spans="1:38" s="1" customFormat="1" ht="18.75" customHeight="1">
      <c r="A46" s="70"/>
      <c r="B46" s="28"/>
      <c r="C46" s="29"/>
      <c r="D46" s="182"/>
      <c r="E46" s="182"/>
      <c r="F46" s="182"/>
      <c r="G46" s="182"/>
      <c r="H46" s="182"/>
      <c r="I46" s="31"/>
      <c r="J46" s="30"/>
      <c r="K46" s="30"/>
      <c r="L46" s="30"/>
      <c r="M46" s="30"/>
      <c r="N46" s="31"/>
      <c r="O46" s="31"/>
      <c r="P46" s="30"/>
      <c r="Q46" s="30"/>
      <c r="R46" s="32"/>
      <c r="W46" s="33"/>
      <c r="Y46" s="2"/>
      <c r="AF46" s="2"/>
    </row>
    <row r="47" spans="1:38" s="1" customFormat="1" ht="18.75" customHeight="1">
      <c r="A47" s="70"/>
      <c r="B47" s="9" t="s">
        <v>58</v>
      </c>
      <c r="C47" s="10"/>
      <c r="D47" s="183" t="s">
        <v>93</v>
      </c>
      <c r="E47" s="183"/>
      <c r="F47" s="183"/>
      <c r="G47" s="183"/>
      <c r="H47" s="183"/>
      <c r="I47" s="60"/>
      <c r="J47" s="27"/>
      <c r="K47" s="27"/>
      <c r="L47" s="27"/>
      <c r="M47" s="27"/>
      <c r="N47" s="27"/>
      <c r="O47" s="11" t="s">
        <v>46</v>
      </c>
      <c r="P47" s="193" t="s">
        <v>94</v>
      </c>
      <c r="Q47" s="193"/>
      <c r="R47" s="194"/>
      <c r="W47" s="33"/>
      <c r="Y47" s="2"/>
      <c r="AF47" s="2"/>
    </row>
    <row r="48" spans="1:38" s="1" customFormat="1" ht="18.75" customHeight="1">
      <c r="A48" s="70"/>
      <c r="B48" s="9" t="s">
        <v>50</v>
      </c>
      <c r="C48" s="43"/>
      <c r="D48" s="181" t="s">
        <v>62</v>
      </c>
      <c r="E48" s="181"/>
      <c r="F48" s="181"/>
      <c r="G48" s="181"/>
      <c r="H48" s="181"/>
      <c r="I48" s="60"/>
      <c r="J48" s="27"/>
      <c r="K48" s="27"/>
      <c r="L48" s="27"/>
      <c r="M48" s="27"/>
      <c r="N48" s="27"/>
      <c r="O48" s="12" t="s">
        <v>47</v>
      </c>
      <c r="P48" s="193"/>
      <c r="Q48" s="193"/>
      <c r="R48" s="194"/>
      <c r="W48" s="33"/>
      <c r="Y48" s="2"/>
      <c r="AF48" s="2"/>
    </row>
    <row r="49" spans="1:32" s="1" customFormat="1" ht="25.5" customHeight="1">
      <c r="A49" s="70"/>
      <c r="B49" s="13"/>
      <c r="C49" s="10"/>
      <c r="D49" s="183"/>
      <c r="E49" s="183"/>
      <c r="F49" s="183"/>
      <c r="G49" s="183"/>
      <c r="H49" s="183"/>
      <c r="I49" s="2"/>
      <c r="N49" s="2"/>
      <c r="O49" s="11" t="s">
        <v>48</v>
      </c>
      <c r="P49" s="195"/>
      <c r="Q49" s="193"/>
      <c r="R49" s="194"/>
      <c r="W49" s="33"/>
      <c r="Y49" s="2"/>
      <c r="AF49" s="2"/>
    </row>
    <row r="50" spans="1:32" s="1" customFormat="1" ht="23.25" customHeight="1">
      <c r="A50" s="70"/>
      <c r="B50" s="38"/>
      <c r="C50" s="10"/>
      <c r="D50" s="183"/>
      <c r="E50" s="183"/>
      <c r="F50" s="183"/>
      <c r="G50" s="183"/>
      <c r="H50" s="183"/>
      <c r="I50" s="2"/>
      <c r="N50" s="2"/>
      <c r="O50" s="2"/>
      <c r="R50" s="15"/>
      <c r="W50" s="33"/>
      <c r="Y50" s="2"/>
      <c r="AF50" s="2"/>
    </row>
    <row r="51" spans="1:32" s="1" customFormat="1" ht="24.75" customHeight="1" thickBot="1">
      <c r="A51" s="70"/>
      <c r="B51" s="44"/>
      <c r="C51" s="20"/>
      <c r="D51" s="20"/>
      <c r="E51" s="20"/>
      <c r="F51" s="20"/>
      <c r="G51" s="20"/>
      <c r="H51" s="20"/>
      <c r="I51" s="59"/>
      <c r="J51" s="20"/>
      <c r="K51" s="20"/>
      <c r="L51" s="20"/>
      <c r="M51" s="20"/>
      <c r="N51" s="20"/>
      <c r="O51" s="20"/>
      <c r="P51" s="20"/>
      <c r="Q51" s="20"/>
      <c r="R51" s="26"/>
      <c r="W51" s="33"/>
      <c r="Y51" s="2"/>
      <c r="AF51" s="2"/>
    </row>
    <row r="52" spans="1:32" s="1" customFormat="1" ht="24.75" customHeight="1">
      <c r="A52" s="70"/>
      <c r="W52" s="33"/>
      <c r="Y52" s="2"/>
      <c r="AF52" s="2"/>
    </row>
    <row r="53" spans="1:32" s="1" customFormat="1" ht="24" customHeight="1">
      <c r="A53" s="70"/>
      <c r="W53" s="33"/>
      <c r="Y53" s="2"/>
      <c r="AF53" s="2"/>
    </row>
    <row r="54" spans="1:32" s="1" customFormat="1" ht="24.75" customHeight="1">
      <c r="A54" s="70"/>
      <c r="W54" s="33"/>
      <c r="Y54" s="2"/>
      <c r="AF54" s="2"/>
    </row>
    <row r="55" spans="1:32" s="1" customFormat="1" ht="28.5" customHeight="1">
      <c r="A55" s="70"/>
      <c r="W55" s="33"/>
      <c r="Y55" s="2"/>
      <c r="AF55" s="2"/>
    </row>
    <row r="56" spans="1:32" s="1" customFormat="1" ht="18.75" customHeight="1">
      <c r="A56" s="70"/>
      <c r="W56" s="33"/>
      <c r="Y56" s="2"/>
      <c r="AF56" s="2"/>
    </row>
    <row r="57" spans="1:32" s="1" customFormat="1" ht="18.75" customHeight="1">
      <c r="A57" s="70"/>
      <c r="W57" s="33"/>
      <c r="Y57" s="2"/>
      <c r="AF57" s="2"/>
    </row>
    <row r="58" spans="1:32" s="1" customFormat="1" ht="18.75" customHeight="1">
      <c r="A58" s="70"/>
      <c r="W58" s="33"/>
      <c r="Y58" s="2"/>
      <c r="AF58" s="2"/>
    </row>
    <row r="59" spans="1:32" s="1" customFormat="1" ht="18.75" customHeight="1">
      <c r="A59" s="70"/>
      <c r="W59" s="33"/>
      <c r="Y59" s="2"/>
      <c r="AF59" s="2"/>
    </row>
    <row r="60" spans="1:32" s="1" customFormat="1" ht="18.75" customHeight="1">
      <c r="A60" s="70"/>
      <c r="W60" s="33"/>
      <c r="Y60" s="2"/>
      <c r="AF60" s="2"/>
    </row>
    <row r="61" spans="1:32" s="1" customFormat="1" ht="18.75" customHeight="1">
      <c r="A61" s="70"/>
      <c r="W61" s="33"/>
      <c r="Y61" s="2"/>
      <c r="AF61" s="2"/>
    </row>
    <row r="62" spans="1:32" s="1" customFormat="1" ht="18.75" customHeight="1">
      <c r="A62" s="70"/>
      <c r="W62" s="33"/>
      <c r="Y62" s="2"/>
      <c r="AF62" s="2"/>
    </row>
    <row r="63" spans="1:32" s="1" customFormat="1" ht="18.75" customHeight="1">
      <c r="A63" s="70"/>
      <c r="C63" s="10"/>
      <c r="D63" s="10"/>
      <c r="E63" s="10"/>
      <c r="F63" s="10"/>
      <c r="G63" s="10"/>
      <c r="H63" s="14"/>
      <c r="I63" s="2"/>
      <c r="N63" s="2"/>
      <c r="O63" s="11"/>
      <c r="P63" s="33"/>
      <c r="Q63" s="33"/>
      <c r="R63" s="33"/>
      <c r="W63" s="33"/>
      <c r="Y63" s="2"/>
      <c r="AF63" s="2"/>
    </row>
    <row r="64" spans="1:32" s="1" customFormat="1" ht="18.75" customHeight="1">
      <c r="A64" s="70"/>
      <c r="B64" s="2"/>
      <c r="C64" s="10"/>
      <c r="D64" s="10"/>
      <c r="E64" s="10"/>
      <c r="F64" s="10"/>
      <c r="G64" s="10"/>
      <c r="H64" s="14"/>
      <c r="I64" s="2"/>
      <c r="N64" s="2"/>
      <c r="O64" s="2"/>
      <c r="W64" s="33"/>
      <c r="Y64" s="2"/>
      <c r="AF64" s="2"/>
    </row>
    <row r="65" spans="1:32" s="1" customFormat="1" ht="18.75" customHeight="1">
      <c r="A65" s="70"/>
      <c r="I65" s="2"/>
      <c r="W65" s="33"/>
      <c r="Y65" s="2"/>
      <c r="AF65" s="2"/>
    </row>
    <row r="66" spans="1:32" s="1" customFormat="1" ht="18.75" customHeight="1">
      <c r="A66" s="70"/>
      <c r="I66" s="2"/>
      <c r="W66" s="33"/>
      <c r="Y66" s="2"/>
      <c r="AF66" s="2"/>
    </row>
    <row r="67" spans="1:32" s="1" customFormat="1" ht="18.75" customHeight="1">
      <c r="A67" s="70"/>
      <c r="I67" s="2"/>
      <c r="W67" s="33"/>
      <c r="Y67" s="2"/>
      <c r="AF67" s="2"/>
    </row>
    <row r="68" spans="1:32" s="1" customFormat="1" ht="18.75" customHeight="1">
      <c r="A68" s="70"/>
      <c r="I68" s="2"/>
      <c r="W68" s="33"/>
      <c r="Y68" s="2"/>
      <c r="AF68" s="2"/>
    </row>
    <row r="69" spans="1:32" s="1" customFormat="1" ht="18.75" customHeight="1">
      <c r="A69" s="70"/>
      <c r="I69" s="2"/>
      <c r="W69" s="33"/>
      <c r="Y69" s="2"/>
      <c r="AF69" s="2"/>
    </row>
    <row r="70" spans="1:32" s="1" customFormat="1" ht="18.75" customHeight="1">
      <c r="A70" s="70"/>
      <c r="I70" s="2"/>
      <c r="W70" s="33"/>
      <c r="Y70" s="2"/>
      <c r="AF70" s="2"/>
    </row>
    <row r="71" spans="1:32" s="1" customFormat="1" ht="18.75" customHeight="1">
      <c r="A71" s="70"/>
      <c r="I71" s="2"/>
      <c r="W71" s="33"/>
      <c r="Y71" s="2"/>
      <c r="AF71" s="2"/>
    </row>
    <row r="72" spans="1:32" s="1" customFormat="1" ht="18.75" customHeight="1">
      <c r="A72" s="70"/>
      <c r="I72" s="2"/>
      <c r="W72" s="33"/>
      <c r="Y72" s="2"/>
      <c r="AF72" s="2"/>
    </row>
    <row r="73" spans="1:32" s="1" customFormat="1" ht="18.75" customHeight="1">
      <c r="A73" s="70"/>
      <c r="I73" s="2"/>
      <c r="W73" s="33"/>
      <c r="X73" s="2"/>
      <c r="Y73" s="2"/>
      <c r="AF73" s="2"/>
    </row>
    <row r="74" spans="1:32" s="1" customFormat="1" ht="18.75" customHeight="1">
      <c r="A74" s="70"/>
      <c r="B74" s="16"/>
      <c r="C74" s="10"/>
      <c r="D74" s="10"/>
      <c r="E74" s="10"/>
      <c r="F74" s="10"/>
      <c r="G74" s="10"/>
      <c r="H74" s="14"/>
      <c r="I74" s="2"/>
      <c r="N74" s="2"/>
      <c r="O74" s="2"/>
      <c r="W74" s="33"/>
      <c r="X74" s="2"/>
      <c r="Y74" s="2"/>
      <c r="AF74" s="2"/>
    </row>
  </sheetData>
  <mergeCells count="73">
    <mergeCell ref="A10:A15"/>
    <mergeCell ref="A16:A19"/>
    <mergeCell ref="A31:A32"/>
    <mergeCell ref="C7:C9"/>
    <mergeCell ref="I7:I9"/>
    <mergeCell ref="B7:B9"/>
    <mergeCell ref="A7:A9"/>
    <mergeCell ref="C26:O26"/>
    <mergeCell ref="C27:O27"/>
    <mergeCell ref="C28:O28"/>
    <mergeCell ref="C29:O29"/>
    <mergeCell ref="C30:O30"/>
    <mergeCell ref="C31:O31"/>
    <mergeCell ref="D49:H49"/>
    <mergeCell ref="D50:H50"/>
    <mergeCell ref="C43:F43"/>
    <mergeCell ref="C44:F44"/>
    <mergeCell ref="G43:R43"/>
    <mergeCell ref="G44:R44"/>
    <mergeCell ref="P47:R47"/>
    <mergeCell ref="P48:R48"/>
    <mergeCell ref="P49:R49"/>
    <mergeCell ref="D47:H47"/>
    <mergeCell ref="C41:F41"/>
    <mergeCell ref="C42:F42"/>
    <mergeCell ref="G41:R41"/>
    <mergeCell ref="G42:R42"/>
    <mergeCell ref="D48:H48"/>
    <mergeCell ref="D46:H46"/>
    <mergeCell ref="C38:F38"/>
    <mergeCell ref="G38:R38"/>
    <mergeCell ref="G39:S39"/>
    <mergeCell ref="G40:R40"/>
    <mergeCell ref="B1:R1"/>
    <mergeCell ref="B2:C2"/>
    <mergeCell ref="B3:C3"/>
    <mergeCell ref="B4:C4"/>
    <mergeCell ref="J2:N2"/>
    <mergeCell ref="D2:H2"/>
    <mergeCell ref="D3:O3"/>
    <mergeCell ref="D4:O4"/>
    <mergeCell ref="Q24:R25"/>
    <mergeCell ref="R26:R27"/>
    <mergeCell ref="Q26:Q27"/>
    <mergeCell ref="J5:N5"/>
    <mergeCell ref="O7:O9"/>
    <mergeCell ref="D6:H6"/>
    <mergeCell ref="J6:N6"/>
    <mergeCell ref="Q6:R10"/>
    <mergeCell ref="Q12:R13"/>
    <mergeCell ref="D10:H10"/>
    <mergeCell ref="D11:H11"/>
    <mergeCell ref="D12:H12"/>
    <mergeCell ref="D13:H13"/>
    <mergeCell ref="J10:N10"/>
    <mergeCell ref="J11:N11"/>
    <mergeCell ref="J12:N12"/>
    <mergeCell ref="J13:N13"/>
    <mergeCell ref="Q14:Q15"/>
    <mergeCell ref="R14:R15"/>
    <mergeCell ref="O21:O22"/>
    <mergeCell ref="B21:N22"/>
    <mergeCell ref="B24:O25"/>
    <mergeCell ref="D14:H14"/>
    <mergeCell ref="D15:H15"/>
    <mergeCell ref="D16:H16"/>
    <mergeCell ref="D17:H17"/>
    <mergeCell ref="D18:H18"/>
    <mergeCell ref="J14:N14"/>
    <mergeCell ref="J15:N15"/>
    <mergeCell ref="J16:N16"/>
    <mergeCell ref="J17:N17"/>
    <mergeCell ref="J18:N18"/>
  </mergeCells>
  <phoneticPr fontId="9" type="noConversion"/>
  <dataValidations count="5">
    <dataValidation type="list" allowBlank="1" showInputMessage="1" showErrorMessage="1" sqref="J48:N48" xr:uid="{00000000-0002-0000-0000-000000000000}">
      <formula1>#REF!</formula1>
    </dataValidation>
    <dataValidation type="whole" errorStyle="warning" allowBlank="1" showInputMessage="1" showErrorMessage="1" errorTitle="Wrong Value" error="Please Enter time between 1 to 30." sqref="O7 O10:O19" xr:uid="{00000000-0002-0000-0000-000001000000}">
      <formula1>1</formula1>
      <formula2>30</formula2>
    </dataValidation>
    <dataValidation type="whole" errorStyle="warning" allowBlank="1" showInputMessage="1" showErrorMessage="1" errorTitle="Wrong Value" error="Please Enter level of CLO between 1 To 6" sqref="N7:N9 J10:J20" xr:uid="{00000000-0002-0000-0000-000002000000}">
      <formula1>1</formula1>
      <formula2>6</formula2>
    </dataValidation>
    <dataValidation type="whole" errorStyle="warning" allowBlank="1" showInputMessage="1" showErrorMessage="1" errorTitle="Wrong Value" error="Please Enter Difficulty Level between 1 To 5" sqref="H7:H9 D10:D20" xr:uid="{00000000-0002-0000-0000-000003000000}">
      <formula1>1</formula1>
      <formula2>5</formula2>
    </dataValidation>
    <dataValidation errorStyle="warning" allowBlank="1" showInputMessage="1" showErrorMessage="1" sqref="V24:V44" xr:uid="{00000000-0002-0000-0000-000004000000}"/>
  </dataValidations>
  <pageMargins left="0.51" right="0.7" top="0.41" bottom="0.47" header="0.3" footer="0.3"/>
  <pageSetup paperSize="9" scale="54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2024-09-10T08:45:05Z</cp:lastPrinted>
  <dcterms:created xsi:type="dcterms:W3CDTF">2018-09-14T06:12:47Z</dcterms:created>
  <dcterms:modified xsi:type="dcterms:W3CDTF">2025-09-23T09:28:19Z</dcterms:modified>
</cp:coreProperties>
</file>